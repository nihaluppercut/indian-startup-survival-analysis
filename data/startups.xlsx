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hal\Desktop\"/>
    </mc:Choice>
  </mc:AlternateContent>
  <xr:revisionPtr revIDLastSave="0" documentId="13_ncr:1_{8BAFD954-3830-4254-B98F-C1DA8D0D4069}" xr6:coauthVersionLast="47" xr6:coauthVersionMax="47" xr10:uidLastSave="{00000000-0000-0000-0000-000000000000}"/>
  <bookViews>
    <workbookView xWindow="0" yWindow="360" windowWidth="23256" windowHeight="12456" firstSheet="4" activeTab="5" xr2:uid="{00000000-000D-0000-FFFF-FFFF00000000}"/>
  </bookViews>
  <sheets>
    <sheet name="Failure by Industry" sheetId="10" r:id="rId1"/>
    <sheet name="Failure by Funding" sheetId="11" r:id="rId2"/>
    <sheet name="Industry vs Funding Range" sheetId="12" r:id="rId3"/>
    <sheet name="Unicorn Distribution" sheetId="13" r:id="rId4"/>
    <sheet name="Failure Rate by Industry" sheetId="17" r:id="rId5"/>
    <sheet name="DATA" sheetId="1" r:id="rId6"/>
  </sheets>
  <calcPr calcId="191029"/>
  <pivotCaches>
    <pivotCache cacheId="4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7" l="1"/>
  <c r="D11" i="17"/>
  <c r="D4" i="17"/>
  <c r="D9" i="17"/>
  <c r="D3" i="17"/>
  <c r="D7" i="17"/>
  <c r="D5" i="17"/>
  <c r="D8" i="17"/>
  <c r="D10" i="17"/>
  <c r="D6" i="17"/>
  <c r="I58" i="1"/>
  <c r="I59" i="1"/>
  <c r="I60" i="1"/>
  <c r="I61" i="1"/>
  <c r="I62" i="1"/>
  <c r="I63" i="1"/>
  <c r="I64" i="1"/>
  <c r="I65" i="1"/>
  <c r="I66" i="1"/>
  <c r="I67" i="1"/>
  <c r="I54" i="1"/>
  <c r="I55" i="1"/>
  <c r="I56" i="1"/>
  <c r="I57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7" i="1"/>
  <c r="I28" i="1"/>
  <c r="I29" i="1"/>
  <c r="I30" i="1"/>
  <c r="I31" i="1"/>
  <c r="I32" i="1"/>
  <c r="I33" i="1"/>
  <c r="I34" i="1"/>
  <c r="I35" i="1"/>
  <c r="I36" i="1"/>
  <c r="I37" i="1"/>
  <c r="I38" i="1"/>
  <c r="I26" i="1"/>
  <c r="I25" i="1"/>
  <c r="I23" i="1"/>
  <c r="I24" i="1"/>
  <c r="I22" i="1"/>
  <c r="I20" i="1"/>
  <c r="I19" i="1"/>
  <c r="I18" i="1"/>
  <c r="I17" i="1"/>
  <c r="I21" i="1"/>
  <c r="I16" i="1"/>
  <c r="I15" i="1"/>
  <c r="I14" i="1"/>
  <c r="I13" i="1"/>
  <c r="I1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<sst xmlns="http://schemas.openxmlformats.org/spreadsheetml/2006/main" count="485" uniqueCount="106">
  <si>
    <t>startup</t>
  </si>
  <si>
    <t>year founded</t>
  </si>
  <si>
    <t>industry</t>
  </si>
  <si>
    <t>funding (range)</t>
  </si>
  <si>
    <t>funding stage</t>
  </si>
  <si>
    <t>status (active/closes)</t>
  </si>
  <si>
    <t>outcome category</t>
  </si>
  <si>
    <t>survival years</t>
  </si>
  <si>
    <t>astra</t>
  </si>
  <si>
    <t>beepkart</t>
  </si>
  <si>
    <t>bharatagri</t>
  </si>
  <si>
    <t>blusmart</t>
  </si>
  <si>
    <t>builder.ai</t>
  </si>
  <si>
    <t>dunzo</t>
  </si>
  <si>
    <t>the good glamm group</t>
  </si>
  <si>
    <t>leap</t>
  </si>
  <si>
    <t>log9</t>
  </si>
  <si>
    <t>codeparrot</t>
  </si>
  <si>
    <t>mobility</t>
  </si>
  <si>
    <t>spacetech</t>
  </si>
  <si>
    <t>e-commerce</t>
  </si>
  <si>
    <t>agritech</t>
  </si>
  <si>
    <t>SaaS</t>
  </si>
  <si>
    <t>logistics</t>
  </si>
  <si>
    <t>edtech</t>
  </si>
  <si>
    <t>cleantech</t>
  </si>
  <si>
    <t>closed</t>
  </si>
  <si>
    <t>failed</t>
  </si>
  <si>
    <t>series b</t>
  </si>
  <si>
    <t>series a</t>
  </si>
  <si>
    <t>seed</t>
  </si>
  <si>
    <t>series c+</t>
  </si>
  <si>
    <t>very high</t>
  </si>
  <si>
    <t>high</t>
  </si>
  <si>
    <r>
      <t>Low</t>
    </r>
    <r>
      <rPr>
        <sz val="11"/>
        <color theme="1"/>
        <rFont val="Calibri"/>
        <family val="2"/>
        <scheme val="minor"/>
      </rPr>
      <t xml:space="preserve"> → $1M – $10M</t>
    </r>
  </si>
  <si>
    <t>medium</t>
  </si>
  <si>
    <t>low</t>
  </si>
  <si>
    <t>very low</t>
  </si>
  <si>
    <t>niro</t>
  </si>
  <si>
    <t>plusgold</t>
  </si>
  <si>
    <t>zoplar</t>
  </si>
  <si>
    <t>genewiz</t>
  </si>
  <si>
    <t>otipy</t>
  </si>
  <si>
    <t>kenko health</t>
  </si>
  <si>
    <t>bluelearn</t>
  </si>
  <si>
    <t>koinex</t>
  </si>
  <si>
    <t>muvin</t>
  </si>
  <si>
    <t>staqu</t>
  </si>
  <si>
    <t>doodhwala</t>
  </si>
  <si>
    <t>fintech</t>
  </si>
  <si>
    <t>healthtech</t>
  </si>
  <si>
    <t>turant delivery</t>
  </si>
  <si>
    <t>lido learning</t>
  </si>
  <si>
    <t>active</t>
  </si>
  <si>
    <t xml:space="preserve">surviving </t>
  </si>
  <si>
    <t>Industry</t>
  </si>
  <si>
    <t>Groww</t>
  </si>
  <si>
    <t>CRED</t>
  </si>
  <si>
    <t>CoinSwitch</t>
  </si>
  <si>
    <t>Ninjacart</t>
  </si>
  <si>
    <t>Infra.Market</t>
  </si>
  <si>
    <t>OfBusiness</t>
  </si>
  <si>
    <t>Zetwerk</t>
  </si>
  <si>
    <t>Darwinbox</t>
  </si>
  <si>
    <t>Unacademy</t>
  </si>
  <si>
    <t>Physics Wallah</t>
  </si>
  <si>
    <t>Curefoods</t>
  </si>
  <si>
    <t>Open</t>
  </si>
  <si>
    <t>FreshToHome</t>
  </si>
  <si>
    <t>Slice</t>
  </si>
  <si>
    <t>Jupiter</t>
  </si>
  <si>
    <t>Jar</t>
  </si>
  <si>
    <t>Fi Money</t>
  </si>
  <si>
    <t>KreditBee</t>
  </si>
  <si>
    <t>Apna</t>
  </si>
  <si>
    <t>RocketLane</t>
  </si>
  <si>
    <t>Hasura</t>
  </si>
  <si>
    <t>Fleetx</t>
  </si>
  <si>
    <t>Bellatrix Aerospace</t>
  </si>
  <si>
    <t>Agnikul Cosmos</t>
  </si>
  <si>
    <t>Skyroot Aerospace</t>
  </si>
  <si>
    <t>DeHaat</t>
  </si>
  <si>
    <t>Fasal</t>
  </si>
  <si>
    <t>HealthPlix</t>
  </si>
  <si>
    <t>Meesho</t>
  </si>
  <si>
    <t>Livspace</t>
  </si>
  <si>
    <t>CoinDCX</t>
  </si>
  <si>
    <t>BlackBuck</t>
  </si>
  <si>
    <t>Ola Electric</t>
  </si>
  <si>
    <t>Zepto</t>
  </si>
  <si>
    <t>ElasticRun</t>
  </si>
  <si>
    <t>DealShare</t>
  </si>
  <si>
    <t>GlobalBees</t>
  </si>
  <si>
    <t>Mensa Brands</t>
  </si>
  <si>
    <t>very high → $200M+</t>
  </si>
  <si>
    <t>high → $50M – $200M</t>
  </si>
  <si>
    <t>medium → $10M – $50M</t>
  </si>
  <si>
    <t>Count of startup</t>
  </si>
  <si>
    <t>Row Labels</t>
  </si>
  <si>
    <t>Grand Total</t>
  </si>
  <si>
    <t>Column Labels</t>
  </si>
  <si>
    <t>fi0mena</t>
  </si>
  <si>
    <t>unicorn(1(yes)/0(no)</t>
  </si>
  <si>
    <t>Total</t>
  </si>
  <si>
    <t>Failed</t>
  </si>
  <si>
    <t>Failure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</si>
</sst>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hal" refreshedDate="46177.983284722221" createdVersion="8" refreshedVersion="8" minRefreshableVersion="3" recordCount="66" xr:uid="{52456AB3-666A-4F92-8816-0FDB413BA175}">
  <cacheSource type="worksheet">
    <worksheetSource ref="A1:I67" sheet="DATA"/>
  </cacheSource>
  <cacheFields count="9">
    <cacheField name="startup" numFmtId="0">
      <sharedItems/>
    </cacheField>
    <cacheField name="year founded" numFmtId="0">
      <sharedItems containsSemiMixedTypes="0" containsString="0" containsNumber="1" containsInteger="1" minValue="2012" maxValue="2023"/>
    </cacheField>
    <cacheField name="industry" numFmtId="0">
      <sharedItems count="14">
        <s v="mobility"/>
        <s v="spacetech"/>
        <s v="e-commerce"/>
        <s v="agritech"/>
        <s v="SaaS"/>
        <s v="logistics"/>
        <s v="edtech"/>
        <s v="cleantech"/>
        <s v="fintech"/>
        <s v="healthtech"/>
        <s v="biotech" u="1"/>
        <s v="crypto" u="1"/>
        <s v="ai" u="1"/>
        <s v="dairytech" u="1"/>
      </sharedItems>
    </cacheField>
    <cacheField name="funding (range)" numFmtId="0">
      <sharedItems count="5">
        <s v="very high"/>
        <s v="high"/>
        <s v="medium"/>
        <s v="low"/>
        <s v="very low"/>
      </sharedItems>
    </cacheField>
    <cacheField name="funding stage" numFmtId="0">
      <sharedItems/>
    </cacheField>
    <cacheField name="status (active/closes)" numFmtId="0">
      <sharedItems count="2">
        <s v="closed"/>
        <s v="active"/>
      </sharedItems>
    </cacheField>
    <cacheField name="unicorn(1(yes)/0(no)" numFmtId="0">
      <sharedItems containsSemiMixedTypes="0" containsString="0" containsNumber="1" containsInteger="1" minValue="0" maxValue="1"/>
    </cacheField>
    <cacheField name="outcome category" numFmtId="0">
      <sharedItems/>
    </cacheField>
    <cacheField name="survival years" numFmtId="0">
      <sharedItems containsSemiMixedTypes="0" containsString="0" containsNumber="1" containsInteger="1" minValue="2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blusmart"/>
    <n v="2019"/>
    <x v="0"/>
    <x v="0"/>
    <s v="series b"/>
    <x v="0"/>
    <n v="0"/>
    <s v="failed"/>
    <n v="6"/>
  </r>
  <r>
    <s v="astra"/>
    <n v="2023"/>
    <x v="1"/>
    <x v="1"/>
    <s v="seed"/>
    <x v="0"/>
    <n v="0"/>
    <s v="failed"/>
    <n v="2"/>
  </r>
  <r>
    <s v="beepkart"/>
    <n v="2020"/>
    <x v="2"/>
    <x v="2"/>
    <s v="series a"/>
    <x v="0"/>
    <n v="0"/>
    <s v="failed"/>
    <n v="5"/>
  </r>
  <r>
    <s v="bharatagri"/>
    <n v="2017"/>
    <x v="3"/>
    <x v="2"/>
    <s v="series a"/>
    <x v="0"/>
    <n v="0"/>
    <s v="failed"/>
    <n v="8"/>
  </r>
  <r>
    <s v="builder.ai"/>
    <n v="2012"/>
    <x v="4"/>
    <x v="0"/>
    <s v="series c+"/>
    <x v="0"/>
    <n v="0"/>
    <s v="failed"/>
    <n v="13"/>
  </r>
  <r>
    <s v="dunzo"/>
    <n v="2015"/>
    <x v="5"/>
    <x v="0"/>
    <s v="series c+"/>
    <x v="0"/>
    <n v="0"/>
    <s v="failed"/>
    <n v="10"/>
  </r>
  <r>
    <s v="the good glamm group"/>
    <n v="2015"/>
    <x v="2"/>
    <x v="0"/>
    <s v="series c+"/>
    <x v="0"/>
    <n v="0"/>
    <s v="failed"/>
    <n v="10"/>
  </r>
  <r>
    <s v="leap"/>
    <n v="2020"/>
    <x v="6"/>
    <x v="3"/>
    <s v="series a"/>
    <x v="0"/>
    <n v="0"/>
    <s v="failed"/>
    <n v="5"/>
  </r>
  <r>
    <s v="log9"/>
    <n v="2015"/>
    <x v="7"/>
    <x v="1"/>
    <s v="series b"/>
    <x v="0"/>
    <n v="0"/>
    <s v="failed"/>
    <n v="10"/>
  </r>
  <r>
    <s v="codeparrot"/>
    <n v="2022"/>
    <x v="4"/>
    <x v="4"/>
    <s v="seed"/>
    <x v="0"/>
    <n v="0"/>
    <s v="failed"/>
    <n v="3"/>
  </r>
  <r>
    <s v="niro"/>
    <n v="2021"/>
    <x v="8"/>
    <x v="2"/>
    <s v="series a"/>
    <x v="0"/>
    <n v="0"/>
    <s v="failed"/>
    <n v="4"/>
  </r>
  <r>
    <s v="plusgold"/>
    <n v="2022"/>
    <x v="8"/>
    <x v="3"/>
    <s v="seed"/>
    <x v="0"/>
    <n v="0"/>
    <s v="failed"/>
    <n v="3"/>
  </r>
  <r>
    <s v="zoplar"/>
    <n v="2022"/>
    <x v="9"/>
    <x v="3"/>
    <s v="series a"/>
    <x v="0"/>
    <n v="0"/>
    <s v="failed"/>
    <n v="3"/>
  </r>
  <r>
    <s v="otipy"/>
    <n v="2020"/>
    <x v="2"/>
    <x v="1"/>
    <s v="series b"/>
    <x v="0"/>
    <n v="0"/>
    <s v="failed"/>
    <n v="5"/>
  </r>
  <r>
    <s v="genewiz"/>
    <n v="2023"/>
    <x v="9"/>
    <x v="3"/>
    <s v="series c+"/>
    <x v="0"/>
    <n v="0"/>
    <s v="failed"/>
    <n v="2"/>
  </r>
  <r>
    <s v="kenko health"/>
    <n v="2019"/>
    <x v="9"/>
    <x v="2"/>
    <s v="series a"/>
    <x v="0"/>
    <n v="0"/>
    <s v="failed"/>
    <n v="5"/>
  </r>
  <r>
    <s v="bluelearn"/>
    <n v="2020"/>
    <x v="6"/>
    <x v="3"/>
    <s v="seed"/>
    <x v="0"/>
    <n v="0"/>
    <s v="failed"/>
    <n v="4"/>
  </r>
  <r>
    <s v="koinex"/>
    <n v="2017"/>
    <x v="8"/>
    <x v="3"/>
    <s v="seed"/>
    <x v="0"/>
    <n v="0"/>
    <s v="failed"/>
    <n v="2"/>
  </r>
  <r>
    <s v="muvin"/>
    <n v="2018"/>
    <x v="8"/>
    <x v="3"/>
    <s v="seed"/>
    <x v="0"/>
    <n v="0"/>
    <s v="failed"/>
    <n v="6"/>
  </r>
  <r>
    <s v="staqu"/>
    <n v="2015"/>
    <x v="4"/>
    <x v="3"/>
    <s v="seed"/>
    <x v="0"/>
    <n v="0"/>
    <s v="failed"/>
    <n v="10"/>
  </r>
  <r>
    <s v="doodhwala"/>
    <n v="2015"/>
    <x v="3"/>
    <x v="2"/>
    <s v="series a"/>
    <x v="0"/>
    <n v="0"/>
    <s v="failed"/>
    <n v="4"/>
  </r>
  <r>
    <s v="fi0mena"/>
    <n v="2015"/>
    <x v="8"/>
    <x v="3"/>
    <s v="seed"/>
    <x v="0"/>
    <n v="0"/>
    <s v="failed"/>
    <n v="2"/>
  </r>
  <r>
    <s v="turant delivery"/>
    <n v="2015"/>
    <x v="5"/>
    <x v="4"/>
    <s v="seed"/>
    <x v="0"/>
    <n v="0"/>
    <s v="failed"/>
    <n v="2"/>
  </r>
  <r>
    <s v="lido learning"/>
    <n v="2019"/>
    <x v="6"/>
    <x v="2"/>
    <s v="series c+"/>
    <x v="0"/>
    <n v="0"/>
    <s v="failed"/>
    <n v="3"/>
  </r>
  <r>
    <s v="Groww"/>
    <n v="2016"/>
    <x v="8"/>
    <x v="0"/>
    <s v="series c+"/>
    <x v="1"/>
    <n v="1"/>
    <s v="surviving "/>
    <n v="9"/>
  </r>
  <r>
    <s v="CRED"/>
    <n v="2018"/>
    <x v="8"/>
    <x v="0"/>
    <s v="series c+"/>
    <x v="1"/>
    <n v="1"/>
    <s v="surviving "/>
    <n v="7"/>
  </r>
  <r>
    <s v="CoinSwitch"/>
    <n v="2017"/>
    <x v="8"/>
    <x v="1"/>
    <s v="series c+"/>
    <x v="1"/>
    <n v="1"/>
    <s v="surviving "/>
    <n v="8"/>
  </r>
  <r>
    <s v="Ninjacart"/>
    <n v="2015"/>
    <x v="3"/>
    <x v="1"/>
    <s v="series c+"/>
    <x v="1"/>
    <n v="0"/>
    <s v="surviving "/>
    <n v="10"/>
  </r>
  <r>
    <s v="Infra.Market"/>
    <n v="2016"/>
    <x v="2"/>
    <x v="0"/>
    <s v="series c+"/>
    <x v="1"/>
    <n v="1"/>
    <s v="surviving "/>
    <n v="9"/>
  </r>
  <r>
    <s v="OfBusiness"/>
    <n v="2015"/>
    <x v="2"/>
    <x v="0"/>
    <s v="series c+"/>
    <x v="1"/>
    <n v="1"/>
    <s v="surviving "/>
    <n v="10"/>
  </r>
  <r>
    <s v="Zetwerk"/>
    <n v="2018"/>
    <x v="2"/>
    <x v="0"/>
    <s v="series c+"/>
    <x v="1"/>
    <n v="1"/>
    <s v="surviving "/>
    <n v="7"/>
  </r>
  <r>
    <s v="Darwinbox"/>
    <n v="2015"/>
    <x v="4"/>
    <x v="1"/>
    <s v="series c+"/>
    <x v="1"/>
    <n v="1"/>
    <s v="surviving "/>
    <n v="10"/>
  </r>
  <r>
    <s v="Unacademy"/>
    <n v="2015"/>
    <x v="6"/>
    <x v="0"/>
    <s v="series c+"/>
    <x v="1"/>
    <n v="1"/>
    <s v="surviving "/>
    <n v="10"/>
  </r>
  <r>
    <s v="Physics Wallah"/>
    <n v="2020"/>
    <x v="6"/>
    <x v="1"/>
    <s v="series b"/>
    <x v="1"/>
    <n v="1"/>
    <s v="surviving "/>
    <n v="5"/>
  </r>
  <r>
    <s v="Curefoods"/>
    <n v="2020"/>
    <x v="2"/>
    <x v="1"/>
    <s v="series c+"/>
    <x v="1"/>
    <n v="0"/>
    <s v="surviving "/>
    <n v="5"/>
  </r>
  <r>
    <s v="Open"/>
    <n v="2017"/>
    <x v="8"/>
    <x v="1"/>
    <s v="series c+"/>
    <x v="1"/>
    <n v="1"/>
    <s v="surviving "/>
    <n v="8"/>
  </r>
  <r>
    <s v="FreshToHome"/>
    <n v="2015"/>
    <x v="2"/>
    <x v="1"/>
    <s v="series c+"/>
    <x v="1"/>
    <n v="0"/>
    <s v="surviving "/>
    <n v="10"/>
  </r>
  <r>
    <s v="Slice"/>
    <n v="2016"/>
    <x v="8"/>
    <x v="1"/>
    <s v="series b"/>
    <x v="1"/>
    <n v="0"/>
    <s v="surviving "/>
    <n v="9"/>
  </r>
  <r>
    <s v="Jupiter"/>
    <n v="2019"/>
    <x v="8"/>
    <x v="1"/>
    <s v="series c+"/>
    <x v="1"/>
    <n v="0"/>
    <s v="surviving "/>
    <n v="6"/>
  </r>
  <r>
    <s v="Jar"/>
    <n v="2021"/>
    <x v="8"/>
    <x v="2"/>
    <s v="series b"/>
    <x v="1"/>
    <n v="0"/>
    <s v="surviving "/>
    <n v="4"/>
  </r>
  <r>
    <s v="Fi Money"/>
    <n v="2019"/>
    <x v="8"/>
    <x v="2"/>
    <s v="series c+"/>
    <x v="1"/>
    <n v="0"/>
    <s v="surviving "/>
    <n v="6"/>
  </r>
  <r>
    <s v="KreditBee"/>
    <n v="2018"/>
    <x v="8"/>
    <x v="1"/>
    <s v="series c+"/>
    <x v="1"/>
    <n v="0"/>
    <s v="surviving "/>
    <n v="7"/>
  </r>
  <r>
    <s v="Apna"/>
    <n v="2019"/>
    <x v="4"/>
    <x v="1"/>
    <s v="series c+"/>
    <x v="1"/>
    <n v="0"/>
    <s v="surviving "/>
    <n v="6"/>
  </r>
  <r>
    <s v="RocketLane"/>
    <n v="2020"/>
    <x v="4"/>
    <x v="2"/>
    <s v="series b"/>
    <x v="1"/>
    <n v="0"/>
    <s v="surviving "/>
    <n v="5"/>
  </r>
  <r>
    <s v="Hasura"/>
    <n v="2018"/>
    <x v="4"/>
    <x v="2"/>
    <s v="series c+"/>
    <x v="1"/>
    <n v="0"/>
    <s v="surviving "/>
    <n v="7"/>
  </r>
  <r>
    <s v="Fleetx"/>
    <n v="2017"/>
    <x v="4"/>
    <x v="2"/>
    <s v="series c+"/>
    <x v="1"/>
    <n v="0"/>
    <s v="surviving "/>
    <n v="8"/>
  </r>
  <r>
    <s v="Bellatrix Aerospace"/>
    <n v="2015"/>
    <x v="1"/>
    <x v="2"/>
    <s v="series a"/>
    <x v="1"/>
    <n v="0"/>
    <s v="surviving "/>
    <n v="10"/>
  </r>
  <r>
    <s v="Agnikul Cosmos"/>
    <n v="2017"/>
    <x v="1"/>
    <x v="2"/>
    <s v="series b"/>
    <x v="1"/>
    <n v="0"/>
    <s v="surviving "/>
    <n v="8"/>
  </r>
  <r>
    <s v="Skyroot Aerospace"/>
    <n v="2018"/>
    <x v="1"/>
    <x v="1"/>
    <s v="series c+"/>
    <x v="1"/>
    <n v="0"/>
    <s v="surviving "/>
    <n v="7"/>
  </r>
  <r>
    <s v="DeHaat"/>
    <n v="2016"/>
    <x v="3"/>
    <x v="1"/>
    <s v="series c+"/>
    <x v="1"/>
    <n v="0"/>
    <s v="surviving "/>
    <n v="9"/>
  </r>
  <r>
    <s v="Fasal"/>
    <n v="2018"/>
    <x v="3"/>
    <x v="2"/>
    <s v="series b"/>
    <x v="1"/>
    <n v="0"/>
    <s v="surviving "/>
    <n v="7"/>
  </r>
  <r>
    <s v="HealthPlix"/>
    <n v="2016"/>
    <x v="9"/>
    <x v="2"/>
    <s v="series c+"/>
    <x v="1"/>
    <n v="0"/>
    <s v="surviving "/>
    <n v="9"/>
  </r>
  <r>
    <s v="Meesho"/>
    <n v="2015"/>
    <x v="2"/>
    <x v="0"/>
    <s v="series c+"/>
    <x v="1"/>
    <n v="1"/>
    <s v="surviving "/>
    <n v="10"/>
  </r>
  <r>
    <s v="Livspace"/>
    <n v="2015"/>
    <x v="2"/>
    <x v="1"/>
    <s v="series c+"/>
    <x v="1"/>
    <n v="1"/>
    <s v="surviving "/>
    <n v="10"/>
  </r>
  <r>
    <s v="CoinDCX"/>
    <n v="2018"/>
    <x v="8"/>
    <x v="1"/>
    <s v="series c+"/>
    <x v="1"/>
    <n v="1"/>
    <s v="surviving "/>
    <n v="7"/>
  </r>
  <r>
    <s v="BlackBuck"/>
    <n v="2015"/>
    <x v="5"/>
    <x v="1"/>
    <s v="series c+"/>
    <x v="1"/>
    <n v="1"/>
    <s v="surviving "/>
    <n v="10"/>
  </r>
  <r>
    <s v="Zepto"/>
    <n v="2021"/>
    <x v="2"/>
    <x v="0"/>
    <s v="series c+"/>
    <x v="1"/>
    <n v="1"/>
    <s v="surviving "/>
    <n v="4"/>
  </r>
  <r>
    <s v="CoinSwitch"/>
    <n v="2017"/>
    <x v="8"/>
    <x v="0"/>
    <s v="series c+"/>
    <x v="1"/>
    <n v="1"/>
    <s v="surviving "/>
    <n v="8"/>
  </r>
  <r>
    <s v="CoinDCX"/>
    <n v="2018"/>
    <x v="8"/>
    <x v="0"/>
    <s v="series c+"/>
    <x v="1"/>
    <n v="1"/>
    <s v="surviving "/>
    <n v="7"/>
  </r>
  <r>
    <s v="ElasticRun"/>
    <n v="2016"/>
    <x v="5"/>
    <x v="1"/>
    <s v="series c+"/>
    <x v="1"/>
    <n v="1"/>
    <s v="surviving "/>
    <n v="9"/>
  </r>
  <r>
    <s v="DealShare"/>
    <n v="2018"/>
    <x v="2"/>
    <x v="1"/>
    <s v="series c+"/>
    <x v="1"/>
    <n v="1"/>
    <s v="surviving "/>
    <n v="7"/>
  </r>
  <r>
    <s v="Livspace"/>
    <n v="2015"/>
    <x v="2"/>
    <x v="0"/>
    <s v="series c+"/>
    <x v="1"/>
    <n v="1"/>
    <s v="surviving "/>
    <n v="10"/>
  </r>
  <r>
    <s v="BlackBuck"/>
    <n v="2015"/>
    <x v="5"/>
    <x v="0"/>
    <s v="series c+"/>
    <x v="1"/>
    <n v="1"/>
    <s v="surviving "/>
    <n v="10"/>
  </r>
  <r>
    <s v="Ola Electric"/>
    <n v="2017"/>
    <x v="0"/>
    <x v="0"/>
    <s v="series c+"/>
    <x v="1"/>
    <n v="1"/>
    <s v="surviving "/>
    <n v="8"/>
  </r>
  <r>
    <s v="GlobalBees"/>
    <n v="2021"/>
    <x v="2"/>
    <x v="1"/>
    <s v="series c+"/>
    <x v="1"/>
    <n v="1"/>
    <s v="surviving "/>
    <n v="4"/>
  </r>
  <r>
    <s v="Mensa Brands"/>
    <n v="2021"/>
    <x v="2"/>
    <x v="1"/>
    <s v="series b"/>
    <x v="1"/>
    <n v="1"/>
    <s v="surviving 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B6D3E-DAFD-41B3-A183-FD09E7DDC849}" name="PivotTable2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9">
    <pivotField dataField="1" showAll="0"/>
    <pivotField showAll="0"/>
    <pivotField axis="axisRow" showAll="0">
      <items count="15">
        <item x="3"/>
        <item m="1" x="12"/>
        <item m="1" x="10"/>
        <item x="7"/>
        <item m="1" x="11"/>
        <item m="1" x="13"/>
        <item x="2"/>
        <item x="6"/>
        <item x="8"/>
        <item x="9"/>
        <item x="5"/>
        <item x="0"/>
        <item x="4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3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5" item="1" hier="-1"/>
  </pageFields>
  <dataFields count="1">
    <dataField name="Count of start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EE395-3D3D-42CF-BAB3-61097FE0CBEA}" name="PivotTable2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9">
    <pivotField dataField="1"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tart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9E774-4E0E-45B5-A2CF-0FD653AC2591}" name="PivotTable2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2" firstDataCol="1"/>
  <pivotFields count="9">
    <pivotField dataField="1" showAll="0"/>
    <pivotField showAll="0"/>
    <pivotField axis="axisRow" showAll="0">
      <items count="15">
        <item x="3"/>
        <item m="1" x="12"/>
        <item m="1" x="10"/>
        <item x="7"/>
        <item m="1" x="11"/>
        <item m="1" x="13"/>
        <item x="2"/>
        <item x="6"/>
        <item x="8"/>
        <item x="9"/>
        <item x="5"/>
        <item x="0"/>
        <item x="4"/>
        <item x="1"/>
        <item t="default"/>
      </items>
    </pivotField>
    <pivotField axis="axisCol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3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rt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E7D32-DF37-42BF-81B9-184DC8485388}" name="PivotTable2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9">
    <pivotField dataField="1" showAll="0"/>
    <pivotField showAll="0"/>
    <pivotField axis="axisRow" showAll="0">
      <items count="15">
        <item x="3"/>
        <item m="1" x="12"/>
        <item m="1" x="10"/>
        <item x="7"/>
        <item m="1" x="11"/>
        <item m="1" x="13"/>
        <item x="2"/>
        <item x="6"/>
        <item x="8"/>
        <item x="9"/>
        <item x="5"/>
        <item x="0"/>
        <item x="4"/>
        <item x="1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3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5" item="1" hier="-1"/>
  </pageFields>
  <dataFields count="1">
    <dataField name="Count of start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BF06-622F-445A-B65B-ADBA24DCB08E}">
  <dimension ref="A1:B14"/>
  <sheetViews>
    <sheetView workbookViewId="0">
      <selection activeCell="B4" sqref="B4:B13"/>
    </sheetView>
  </sheetViews>
  <sheetFormatPr defaultRowHeight="14.4" x14ac:dyDescent="0.3"/>
  <cols>
    <col min="1" max="1" width="18.33203125" bestFit="1" customWidth="1"/>
    <col min="2" max="2" width="14.88671875" bestFit="1" customWidth="1"/>
  </cols>
  <sheetData>
    <row r="1" spans="1:2" x14ac:dyDescent="0.3">
      <c r="A1" s="5" t="s">
        <v>5</v>
      </c>
      <c r="B1" t="s">
        <v>26</v>
      </c>
    </row>
    <row r="3" spans="1:2" x14ac:dyDescent="0.3">
      <c r="A3" s="5" t="s">
        <v>98</v>
      </c>
      <c r="B3" t="s">
        <v>97</v>
      </c>
    </row>
    <row r="4" spans="1:2" x14ac:dyDescent="0.3">
      <c r="A4" s="6" t="s">
        <v>21</v>
      </c>
      <c r="B4" s="7">
        <v>2</v>
      </c>
    </row>
    <row r="5" spans="1:2" x14ac:dyDescent="0.3">
      <c r="A5" s="6" t="s">
        <v>25</v>
      </c>
      <c r="B5" s="7">
        <v>1</v>
      </c>
    </row>
    <row r="6" spans="1:2" x14ac:dyDescent="0.3">
      <c r="A6" s="6" t="s">
        <v>20</v>
      </c>
      <c r="B6" s="7">
        <v>3</v>
      </c>
    </row>
    <row r="7" spans="1:2" x14ac:dyDescent="0.3">
      <c r="A7" s="6" t="s">
        <v>24</v>
      </c>
      <c r="B7" s="7">
        <v>3</v>
      </c>
    </row>
    <row r="8" spans="1:2" x14ac:dyDescent="0.3">
      <c r="A8" s="6" t="s">
        <v>49</v>
      </c>
      <c r="B8" s="7">
        <v>5</v>
      </c>
    </row>
    <row r="9" spans="1:2" x14ac:dyDescent="0.3">
      <c r="A9" s="6" t="s">
        <v>50</v>
      </c>
      <c r="B9" s="7">
        <v>3</v>
      </c>
    </row>
    <row r="10" spans="1:2" x14ac:dyDescent="0.3">
      <c r="A10" s="6" t="s">
        <v>23</v>
      </c>
      <c r="B10" s="7">
        <v>2</v>
      </c>
    </row>
    <row r="11" spans="1:2" x14ac:dyDescent="0.3">
      <c r="A11" s="6" t="s">
        <v>18</v>
      </c>
      <c r="B11" s="7">
        <v>1</v>
      </c>
    </row>
    <row r="12" spans="1:2" x14ac:dyDescent="0.3">
      <c r="A12" s="6" t="s">
        <v>22</v>
      </c>
      <c r="B12" s="7">
        <v>3</v>
      </c>
    </row>
    <row r="13" spans="1:2" x14ac:dyDescent="0.3">
      <c r="A13" s="6" t="s">
        <v>19</v>
      </c>
      <c r="B13" s="7">
        <v>1</v>
      </c>
    </row>
    <row r="14" spans="1:2" x14ac:dyDescent="0.3">
      <c r="A14" s="6" t="s">
        <v>99</v>
      </c>
      <c r="B14" s="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0113-483F-4C72-BFE6-5E6988CF0205}">
  <dimension ref="A3:D10"/>
  <sheetViews>
    <sheetView workbookViewId="0">
      <selection activeCell="A4" sqref="A4:C10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6.33203125" bestFit="1" customWidth="1"/>
    <col min="4" max="4" width="10.77734375" bestFit="1" customWidth="1"/>
  </cols>
  <sheetData>
    <row r="3" spans="1:4" x14ac:dyDescent="0.3">
      <c r="A3" s="5" t="s">
        <v>97</v>
      </c>
      <c r="B3" s="5" t="s">
        <v>100</v>
      </c>
    </row>
    <row r="4" spans="1:4" x14ac:dyDescent="0.3">
      <c r="A4" s="5" t="s">
        <v>98</v>
      </c>
      <c r="B4" t="s">
        <v>53</v>
      </c>
      <c r="C4" t="s">
        <v>26</v>
      </c>
      <c r="D4" t="s">
        <v>99</v>
      </c>
    </row>
    <row r="5" spans="1:4" x14ac:dyDescent="0.3">
      <c r="A5" s="6" t="s">
        <v>33</v>
      </c>
      <c r="B5" s="7">
        <v>20</v>
      </c>
      <c r="C5" s="7">
        <v>3</v>
      </c>
      <c r="D5" s="7">
        <v>23</v>
      </c>
    </row>
    <row r="6" spans="1:4" x14ac:dyDescent="0.3">
      <c r="A6" s="6" t="s">
        <v>36</v>
      </c>
      <c r="B6" s="7"/>
      <c r="C6" s="7">
        <v>9</v>
      </c>
      <c r="D6" s="7">
        <v>9</v>
      </c>
    </row>
    <row r="7" spans="1:4" x14ac:dyDescent="0.3">
      <c r="A7" s="6" t="s">
        <v>35</v>
      </c>
      <c r="B7" s="7">
        <v>9</v>
      </c>
      <c r="C7" s="7">
        <v>6</v>
      </c>
      <c r="D7" s="7">
        <v>15</v>
      </c>
    </row>
    <row r="8" spans="1:4" x14ac:dyDescent="0.3">
      <c r="A8" s="6" t="s">
        <v>32</v>
      </c>
      <c r="B8" s="7">
        <v>13</v>
      </c>
      <c r="C8" s="7">
        <v>4</v>
      </c>
      <c r="D8" s="7">
        <v>17</v>
      </c>
    </row>
    <row r="9" spans="1:4" x14ac:dyDescent="0.3">
      <c r="A9" s="6" t="s">
        <v>37</v>
      </c>
      <c r="B9" s="7"/>
      <c r="C9" s="7">
        <v>2</v>
      </c>
      <c r="D9" s="7">
        <v>2</v>
      </c>
    </row>
    <row r="10" spans="1:4" x14ac:dyDescent="0.3">
      <c r="A10" s="6" t="s">
        <v>99</v>
      </c>
      <c r="B10" s="7">
        <v>42</v>
      </c>
      <c r="C10" s="7">
        <v>24</v>
      </c>
      <c r="D10" s="7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2773-C161-45AB-8DD6-8CB54DE8F8ED}">
  <dimension ref="A3:G15"/>
  <sheetViews>
    <sheetView workbookViewId="0">
      <selection activeCell="A4" sqref="A4:G19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4" bestFit="1" customWidth="1"/>
    <col min="4" max="4" width="8" bestFit="1" customWidth="1"/>
    <col min="5" max="5" width="8.77734375" bestFit="1" customWidth="1"/>
    <col min="6" max="6" width="8.109375" bestFit="1" customWidth="1"/>
    <col min="7" max="7" width="10.77734375" bestFit="1" customWidth="1"/>
  </cols>
  <sheetData>
    <row r="3" spans="1:7" x14ac:dyDescent="0.3">
      <c r="A3" s="5" t="s">
        <v>97</v>
      </c>
      <c r="B3" s="5" t="s">
        <v>100</v>
      </c>
    </row>
    <row r="4" spans="1:7" x14ac:dyDescent="0.3">
      <c r="A4" s="5" t="s">
        <v>98</v>
      </c>
      <c r="B4" t="s">
        <v>33</v>
      </c>
      <c r="C4" t="s">
        <v>36</v>
      </c>
      <c r="D4" t="s">
        <v>35</v>
      </c>
      <c r="E4" t="s">
        <v>32</v>
      </c>
      <c r="F4" t="s">
        <v>37</v>
      </c>
      <c r="G4" t="s">
        <v>99</v>
      </c>
    </row>
    <row r="5" spans="1:7" x14ac:dyDescent="0.3">
      <c r="A5" s="6" t="s">
        <v>21</v>
      </c>
      <c r="B5" s="7">
        <v>2</v>
      </c>
      <c r="C5" s="7"/>
      <c r="D5" s="7">
        <v>3</v>
      </c>
      <c r="E5" s="7"/>
      <c r="F5" s="7"/>
      <c r="G5" s="7">
        <v>5</v>
      </c>
    </row>
    <row r="6" spans="1:7" x14ac:dyDescent="0.3">
      <c r="A6" s="6" t="s">
        <v>25</v>
      </c>
      <c r="B6" s="7">
        <v>1</v>
      </c>
      <c r="C6" s="7"/>
      <c r="D6" s="7"/>
      <c r="E6" s="7"/>
      <c r="F6" s="7"/>
      <c r="G6" s="7">
        <v>1</v>
      </c>
    </row>
    <row r="7" spans="1:7" x14ac:dyDescent="0.3">
      <c r="A7" s="6" t="s">
        <v>20</v>
      </c>
      <c r="B7" s="7">
        <v>7</v>
      </c>
      <c r="C7" s="7"/>
      <c r="D7" s="7">
        <v>1</v>
      </c>
      <c r="E7" s="7">
        <v>7</v>
      </c>
      <c r="F7" s="7"/>
      <c r="G7" s="7">
        <v>15</v>
      </c>
    </row>
    <row r="8" spans="1:7" x14ac:dyDescent="0.3">
      <c r="A8" s="6" t="s">
        <v>24</v>
      </c>
      <c r="B8" s="7">
        <v>1</v>
      </c>
      <c r="C8" s="7">
        <v>2</v>
      </c>
      <c r="D8" s="7">
        <v>1</v>
      </c>
      <c r="E8" s="7">
        <v>1</v>
      </c>
      <c r="F8" s="7"/>
      <c r="G8" s="7">
        <v>5</v>
      </c>
    </row>
    <row r="9" spans="1:7" x14ac:dyDescent="0.3">
      <c r="A9" s="6" t="s">
        <v>49</v>
      </c>
      <c r="B9" s="7">
        <v>6</v>
      </c>
      <c r="C9" s="7">
        <v>4</v>
      </c>
      <c r="D9" s="7">
        <v>3</v>
      </c>
      <c r="E9" s="7">
        <v>4</v>
      </c>
      <c r="F9" s="7"/>
      <c r="G9" s="7">
        <v>17</v>
      </c>
    </row>
    <row r="10" spans="1:7" x14ac:dyDescent="0.3">
      <c r="A10" s="6" t="s">
        <v>50</v>
      </c>
      <c r="B10" s="7"/>
      <c r="C10" s="7">
        <v>2</v>
      </c>
      <c r="D10" s="7">
        <v>2</v>
      </c>
      <c r="E10" s="7"/>
      <c r="F10" s="7"/>
      <c r="G10" s="7">
        <v>4</v>
      </c>
    </row>
    <row r="11" spans="1:7" x14ac:dyDescent="0.3">
      <c r="A11" s="6" t="s">
        <v>23</v>
      </c>
      <c r="B11" s="7">
        <v>2</v>
      </c>
      <c r="C11" s="7"/>
      <c r="D11" s="7"/>
      <c r="E11" s="7">
        <v>2</v>
      </c>
      <c r="F11" s="7">
        <v>1</v>
      </c>
      <c r="G11" s="7">
        <v>5</v>
      </c>
    </row>
    <row r="12" spans="1:7" x14ac:dyDescent="0.3">
      <c r="A12" s="6" t="s">
        <v>18</v>
      </c>
      <c r="B12" s="7"/>
      <c r="C12" s="7"/>
      <c r="D12" s="7"/>
      <c r="E12" s="7">
        <v>2</v>
      </c>
      <c r="F12" s="7"/>
      <c r="G12" s="7">
        <v>2</v>
      </c>
    </row>
    <row r="13" spans="1:7" x14ac:dyDescent="0.3">
      <c r="A13" s="6" t="s">
        <v>22</v>
      </c>
      <c r="B13" s="7">
        <v>2</v>
      </c>
      <c r="C13" s="7">
        <v>1</v>
      </c>
      <c r="D13" s="7">
        <v>3</v>
      </c>
      <c r="E13" s="7">
        <v>1</v>
      </c>
      <c r="F13" s="7">
        <v>1</v>
      </c>
      <c r="G13" s="7">
        <v>8</v>
      </c>
    </row>
    <row r="14" spans="1:7" x14ac:dyDescent="0.3">
      <c r="A14" s="6" t="s">
        <v>19</v>
      </c>
      <c r="B14" s="7">
        <v>2</v>
      </c>
      <c r="C14" s="7"/>
      <c r="D14" s="7">
        <v>2</v>
      </c>
      <c r="E14" s="7"/>
      <c r="F14" s="7"/>
      <c r="G14" s="7">
        <v>4</v>
      </c>
    </row>
    <row r="15" spans="1:7" x14ac:dyDescent="0.3">
      <c r="A15" s="6" t="s">
        <v>99</v>
      </c>
      <c r="B15" s="7">
        <v>23</v>
      </c>
      <c r="C15" s="7">
        <v>9</v>
      </c>
      <c r="D15" s="7">
        <v>15</v>
      </c>
      <c r="E15" s="7">
        <v>17</v>
      </c>
      <c r="F15" s="7">
        <v>2</v>
      </c>
      <c r="G15" s="7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8227-A161-4B3A-B5D5-D866C26C624E}">
  <dimension ref="A1:B14"/>
  <sheetViews>
    <sheetView workbookViewId="0">
      <selection activeCell="I20" sqref="I20"/>
    </sheetView>
  </sheetViews>
  <sheetFormatPr defaultRowHeight="14.4" x14ac:dyDescent="0.3"/>
  <cols>
    <col min="1" max="1" width="18.33203125" bestFit="1" customWidth="1"/>
    <col min="2" max="2" width="14.88671875" bestFit="1" customWidth="1"/>
  </cols>
  <sheetData>
    <row r="1" spans="1:2" x14ac:dyDescent="0.3">
      <c r="A1" s="5" t="s">
        <v>5</v>
      </c>
      <c r="B1" t="s">
        <v>26</v>
      </c>
    </row>
    <row r="3" spans="1:2" x14ac:dyDescent="0.3">
      <c r="A3" s="5" t="s">
        <v>98</v>
      </c>
      <c r="B3" t="s">
        <v>97</v>
      </c>
    </row>
    <row r="4" spans="1:2" x14ac:dyDescent="0.3">
      <c r="A4" s="6" t="s">
        <v>21</v>
      </c>
      <c r="B4" s="7">
        <v>2</v>
      </c>
    </row>
    <row r="5" spans="1:2" x14ac:dyDescent="0.3">
      <c r="A5" s="6" t="s">
        <v>25</v>
      </c>
      <c r="B5" s="7">
        <v>1</v>
      </c>
    </row>
    <row r="6" spans="1:2" x14ac:dyDescent="0.3">
      <c r="A6" s="6" t="s">
        <v>20</v>
      </c>
      <c r="B6" s="7">
        <v>3</v>
      </c>
    </row>
    <row r="7" spans="1:2" x14ac:dyDescent="0.3">
      <c r="A7" s="6" t="s">
        <v>24</v>
      </c>
      <c r="B7" s="7">
        <v>3</v>
      </c>
    </row>
    <row r="8" spans="1:2" x14ac:dyDescent="0.3">
      <c r="A8" s="6" t="s">
        <v>49</v>
      </c>
      <c r="B8" s="7">
        <v>5</v>
      </c>
    </row>
    <row r="9" spans="1:2" x14ac:dyDescent="0.3">
      <c r="A9" s="6" t="s">
        <v>50</v>
      </c>
      <c r="B9" s="7">
        <v>3</v>
      </c>
    </row>
    <row r="10" spans="1:2" x14ac:dyDescent="0.3">
      <c r="A10" s="6" t="s">
        <v>23</v>
      </c>
      <c r="B10" s="7">
        <v>2</v>
      </c>
    </row>
    <row r="11" spans="1:2" x14ac:dyDescent="0.3">
      <c r="A11" s="6" t="s">
        <v>18</v>
      </c>
      <c r="B11" s="7">
        <v>1</v>
      </c>
    </row>
    <row r="12" spans="1:2" x14ac:dyDescent="0.3">
      <c r="A12" s="6" t="s">
        <v>22</v>
      </c>
      <c r="B12" s="7">
        <v>3</v>
      </c>
    </row>
    <row r="13" spans="1:2" x14ac:dyDescent="0.3">
      <c r="A13" s="6" t="s">
        <v>19</v>
      </c>
      <c r="B13" s="7">
        <v>1</v>
      </c>
    </row>
    <row r="14" spans="1:2" x14ac:dyDescent="0.3">
      <c r="A14" s="6" t="s">
        <v>99</v>
      </c>
      <c r="B14" s="7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6648-5CE0-4BF5-AC2A-F3B8130FC71E}">
  <dimension ref="A1:D11"/>
  <sheetViews>
    <sheetView topLeftCell="B1" workbookViewId="0">
      <selection activeCell="K23" sqref="K23"/>
    </sheetView>
  </sheetViews>
  <sheetFormatPr defaultRowHeight="14.4" x14ac:dyDescent="0.3"/>
  <cols>
    <col min="1" max="1" width="11.33203125" bestFit="1" customWidth="1"/>
    <col min="4" max="4" width="10.77734375" bestFit="1" customWidth="1"/>
  </cols>
  <sheetData>
    <row r="1" spans="1:4" x14ac:dyDescent="0.3">
      <c r="A1" s="1" t="s">
        <v>55</v>
      </c>
      <c r="B1" s="1" t="s">
        <v>103</v>
      </c>
      <c r="C1" s="1" t="s">
        <v>104</v>
      </c>
      <c r="D1" s="1" t="s">
        <v>105</v>
      </c>
    </row>
    <row r="2" spans="1:4" x14ac:dyDescent="0.3">
      <c r="A2" s="6" t="s">
        <v>25</v>
      </c>
      <c r="B2" s="7">
        <v>1</v>
      </c>
      <c r="C2" s="7">
        <v>1</v>
      </c>
      <c r="D2" s="8">
        <f>(C2/B2)</f>
        <v>1</v>
      </c>
    </row>
    <row r="3" spans="1:4" x14ac:dyDescent="0.3">
      <c r="A3" s="6" t="s">
        <v>50</v>
      </c>
      <c r="B3" s="7">
        <v>4</v>
      </c>
      <c r="C3" s="7">
        <v>3</v>
      </c>
      <c r="D3" s="8">
        <f>(C3/B3)</f>
        <v>0.75</v>
      </c>
    </row>
    <row r="4" spans="1:4" x14ac:dyDescent="0.3">
      <c r="A4" s="6" t="s">
        <v>24</v>
      </c>
      <c r="B4" s="7">
        <v>5</v>
      </c>
      <c r="C4" s="7">
        <v>3</v>
      </c>
      <c r="D4" s="8">
        <f>(C4/B4)</f>
        <v>0.6</v>
      </c>
    </row>
    <row r="5" spans="1:4" x14ac:dyDescent="0.3">
      <c r="A5" s="6" t="s">
        <v>18</v>
      </c>
      <c r="B5" s="7">
        <v>2</v>
      </c>
      <c r="C5" s="7">
        <v>1</v>
      </c>
      <c r="D5" s="8">
        <f>(C5/B5)</f>
        <v>0.5</v>
      </c>
    </row>
    <row r="6" spans="1:4" x14ac:dyDescent="0.3">
      <c r="A6" s="6" t="s">
        <v>21</v>
      </c>
      <c r="B6" s="7">
        <v>5</v>
      </c>
      <c r="C6" s="7">
        <v>2</v>
      </c>
      <c r="D6" s="8">
        <f>(C6/B6)</f>
        <v>0.4</v>
      </c>
    </row>
    <row r="7" spans="1:4" x14ac:dyDescent="0.3">
      <c r="A7" s="6" t="s">
        <v>23</v>
      </c>
      <c r="B7" s="7">
        <v>5</v>
      </c>
      <c r="C7" s="7">
        <v>2</v>
      </c>
      <c r="D7" s="8">
        <f>(C7/B7)</f>
        <v>0.4</v>
      </c>
    </row>
    <row r="8" spans="1:4" x14ac:dyDescent="0.3">
      <c r="A8" s="6" t="s">
        <v>22</v>
      </c>
      <c r="B8" s="7">
        <v>8</v>
      </c>
      <c r="C8" s="7">
        <v>3</v>
      </c>
      <c r="D8" s="8">
        <f>(C8/B8)</f>
        <v>0.375</v>
      </c>
    </row>
    <row r="9" spans="1:4" x14ac:dyDescent="0.3">
      <c r="A9" s="6" t="s">
        <v>49</v>
      </c>
      <c r="B9" s="7">
        <v>17</v>
      </c>
      <c r="C9" s="7">
        <v>5</v>
      </c>
      <c r="D9" s="8">
        <f>(C9/B9)</f>
        <v>0.29411764705882354</v>
      </c>
    </row>
    <row r="10" spans="1:4" x14ac:dyDescent="0.3">
      <c r="A10" s="6" t="s">
        <v>19</v>
      </c>
      <c r="B10" s="7">
        <v>4</v>
      </c>
      <c r="C10" s="7">
        <v>1</v>
      </c>
      <c r="D10" s="8">
        <f>(C10/B10)</f>
        <v>0.25</v>
      </c>
    </row>
    <row r="11" spans="1:4" x14ac:dyDescent="0.3">
      <c r="A11" s="6" t="s">
        <v>20</v>
      </c>
      <c r="B11" s="7">
        <v>15</v>
      </c>
      <c r="C11" s="7">
        <v>3</v>
      </c>
      <c r="D11" s="8">
        <f>(C11/B11)</f>
        <v>0.2</v>
      </c>
    </row>
  </sheetData>
  <sortState xmlns:xlrd2="http://schemas.microsoft.com/office/spreadsheetml/2017/richdata2" ref="A2:D11">
    <sortCondition descending="1" ref="D1:D1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topLeftCell="A38" zoomScale="93" zoomScaleNormal="74" workbookViewId="0">
      <selection sqref="A1:I67"/>
    </sheetView>
  </sheetViews>
  <sheetFormatPr defaultRowHeight="14.4" x14ac:dyDescent="0.3"/>
  <cols>
    <col min="1" max="1" width="20.5546875" bestFit="1" customWidth="1"/>
    <col min="2" max="2" width="12.33203125" bestFit="1" customWidth="1"/>
    <col min="3" max="3" width="11.6640625" bestFit="1" customWidth="1"/>
    <col min="4" max="4" width="14.77734375" customWidth="1"/>
    <col min="5" max="5" width="13.21875" bestFit="1" customWidth="1"/>
    <col min="6" max="6" width="20.109375" bestFit="1" customWidth="1"/>
    <col min="7" max="7" width="19.6640625" bestFit="1" customWidth="1"/>
    <col min="8" max="8" width="17.33203125" bestFit="1" customWidth="1"/>
    <col min="9" max="9" width="12.33203125" customWidth="1"/>
    <col min="19" max="19" width="9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</v>
      </c>
      <c r="H1" s="1" t="s">
        <v>6</v>
      </c>
      <c r="I1" s="1" t="s">
        <v>7</v>
      </c>
    </row>
    <row r="2" spans="1:20" x14ac:dyDescent="0.3">
      <c r="A2" t="s">
        <v>11</v>
      </c>
      <c r="B2">
        <v>2019</v>
      </c>
      <c r="C2" t="s">
        <v>18</v>
      </c>
      <c r="D2" t="s">
        <v>32</v>
      </c>
      <c r="E2" t="s">
        <v>28</v>
      </c>
      <c r="F2" t="s">
        <v>26</v>
      </c>
      <c r="G2">
        <v>0</v>
      </c>
      <c r="H2" t="s">
        <v>27</v>
      </c>
      <c r="I2">
        <f>2025-B2</f>
        <v>6</v>
      </c>
    </row>
    <row r="3" spans="1:20" x14ac:dyDescent="0.3">
      <c r="A3" t="s">
        <v>8</v>
      </c>
      <c r="B3">
        <v>2023</v>
      </c>
      <c r="C3" t="s">
        <v>19</v>
      </c>
      <c r="D3" t="s">
        <v>33</v>
      </c>
      <c r="E3" t="s">
        <v>30</v>
      </c>
      <c r="F3" t="s">
        <v>26</v>
      </c>
      <c r="G3">
        <v>0</v>
      </c>
      <c r="H3" t="s">
        <v>27</v>
      </c>
      <c r="I3">
        <f>2025-B3</f>
        <v>2</v>
      </c>
    </row>
    <row r="4" spans="1:20" x14ac:dyDescent="0.3">
      <c r="A4" t="s">
        <v>9</v>
      </c>
      <c r="B4">
        <v>2020</v>
      </c>
      <c r="C4" t="s">
        <v>20</v>
      </c>
      <c r="D4" t="s">
        <v>35</v>
      </c>
      <c r="E4" t="s">
        <v>29</v>
      </c>
      <c r="F4" t="s">
        <v>26</v>
      </c>
      <c r="G4">
        <v>0</v>
      </c>
      <c r="H4" t="s">
        <v>27</v>
      </c>
      <c r="I4">
        <f>2025-B4</f>
        <v>5</v>
      </c>
    </row>
    <row r="5" spans="1:20" x14ac:dyDescent="0.3">
      <c r="A5" t="s">
        <v>10</v>
      </c>
      <c r="B5">
        <v>2017</v>
      </c>
      <c r="C5" t="s">
        <v>21</v>
      </c>
      <c r="D5" t="s">
        <v>35</v>
      </c>
      <c r="E5" t="s">
        <v>29</v>
      </c>
      <c r="F5" t="s">
        <v>26</v>
      </c>
      <c r="G5">
        <v>0</v>
      </c>
      <c r="H5" t="s">
        <v>27</v>
      </c>
      <c r="I5">
        <f>2025-B5</f>
        <v>8</v>
      </c>
    </row>
    <row r="6" spans="1:20" x14ac:dyDescent="0.3">
      <c r="A6" t="s">
        <v>12</v>
      </c>
      <c r="B6">
        <v>2012</v>
      </c>
      <c r="C6" t="s">
        <v>22</v>
      </c>
      <c r="D6" t="s">
        <v>32</v>
      </c>
      <c r="E6" t="s">
        <v>31</v>
      </c>
      <c r="F6" t="s">
        <v>26</v>
      </c>
      <c r="G6">
        <v>0</v>
      </c>
      <c r="H6" t="s">
        <v>27</v>
      </c>
      <c r="I6">
        <f>2025-B6</f>
        <v>13</v>
      </c>
    </row>
    <row r="7" spans="1:20" x14ac:dyDescent="0.3">
      <c r="A7" t="s">
        <v>13</v>
      </c>
      <c r="B7">
        <v>2015</v>
      </c>
      <c r="C7" t="s">
        <v>23</v>
      </c>
      <c r="D7" t="s">
        <v>32</v>
      </c>
      <c r="E7" t="s">
        <v>31</v>
      </c>
      <c r="F7" t="s">
        <v>26</v>
      </c>
      <c r="G7">
        <v>0</v>
      </c>
      <c r="H7" t="s">
        <v>27</v>
      </c>
      <c r="I7">
        <f>2025-B7</f>
        <v>10</v>
      </c>
    </row>
    <row r="8" spans="1:20" x14ac:dyDescent="0.3">
      <c r="A8" t="s">
        <v>14</v>
      </c>
      <c r="B8">
        <v>2015</v>
      </c>
      <c r="C8" t="s">
        <v>20</v>
      </c>
      <c r="D8" t="s">
        <v>32</v>
      </c>
      <c r="E8" t="s">
        <v>31</v>
      </c>
      <c r="F8" t="s">
        <v>26</v>
      </c>
      <c r="G8">
        <v>0</v>
      </c>
      <c r="H8" t="s">
        <v>27</v>
      </c>
      <c r="I8">
        <f>2025-B8</f>
        <v>10</v>
      </c>
    </row>
    <row r="9" spans="1:20" x14ac:dyDescent="0.3">
      <c r="A9" t="s">
        <v>15</v>
      </c>
      <c r="B9">
        <v>2020</v>
      </c>
      <c r="C9" t="s">
        <v>24</v>
      </c>
      <c r="D9" t="s">
        <v>36</v>
      </c>
      <c r="E9" t="s">
        <v>29</v>
      </c>
      <c r="F9" t="s">
        <v>26</v>
      </c>
      <c r="G9">
        <v>0</v>
      </c>
      <c r="H9" t="s">
        <v>27</v>
      </c>
      <c r="I9">
        <f>2025-B9</f>
        <v>5</v>
      </c>
    </row>
    <row r="10" spans="1:20" x14ac:dyDescent="0.3">
      <c r="A10" t="s">
        <v>16</v>
      </c>
      <c r="B10">
        <v>2015</v>
      </c>
      <c r="C10" t="s">
        <v>25</v>
      </c>
      <c r="D10" t="s">
        <v>33</v>
      </c>
      <c r="E10" t="s">
        <v>28</v>
      </c>
      <c r="F10" t="s">
        <v>26</v>
      </c>
      <c r="G10">
        <v>0</v>
      </c>
      <c r="H10" t="s">
        <v>27</v>
      </c>
      <c r="I10">
        <f>2025-B10</f>
        <v>10</v>
      </c>
    </row>
    <row r="11" spans="1:20" x14ac:dyDescent="0.3">
      <c r="A11" t="s">
        <v>17</v>
      </c>
      <c r="B11">
        <v>2022</v>
      </c>
      <c r="C11" t="s">
        <v>22</v>
      </c>
      <c r="D11" t="s">
        <v>37</v>
      </c>
      <c r="E11" t="s">
        <v>30</v>
      </c>
      <c r="F11" t="s">
        <v>26</v>
      </c>
      <c r="G11">
        <v>0</v>
      </c>
      <c r="H11" t="s">
        <v>27</v>
      </c>
      <c r="I11">
        <f>2025-B11</f>
        <v>3</v>
      </c>
    </row>
    <row r="12" spans="1:20" x14ac:dyDescent="0.3">
      <c r="A12" t="s">
        <v>38</v>
      </c>
      <c r="B12">
        <v>2021</v>
      </c>
      <c r="C12" t="s">
        <v>49</v>
      </c>
      <c r="D12" t="s">
        <v>35</v>
      </c>
      <c r="E12" t="s">
        <v>29</v>
      </c>
      <c r="F12" t="s">
        <v>26</v>
      </c>
      <c r="G12">
        <v>0</v>
      </c>
      <c r="H12" t="s">
        <v>27</v>
      </c>
      <c r="I12">
        <f>2025-B12</f>
        <v>4</v>
      </c>
    </row>
    <row r="13" spans="1:20" x14ac:dyDescent="0.3">
      <c r="A13" t="s">
        <v>39</v>
      </c>
      <c r="B13">
        <v>2022</v>
      </c>
      <c r="C13" t="s">
        <v>49</v>
      </c>
      <c r="D13" t="s">
        <v>36</v>
      </c>
      <c r="E13" t="s">
        <v>30</v>
      </c>
      <c r="F13" t="s">
        <v>26</v>
      </c>
      <c r="G13">
        <v>0</v>
      </c>
      <c r="H13" t="s">
        <v>27</v>
      </c>
      <c r="I13">
        <f>2025-B13</f>
        <v>3</v>
      </c>
    </row>
    <row r="14" spans="1:20" x14ac:dyDescent="0.3">
      <c r="A14" t="s">
        <v>40</v>
      </c>
      <c r="B14">
        <v>2022</v>
      </c>
      <c r="C14" t="s">
        <v>50</v>
      </c>
      <c r="D14" t="s">
        <v>36</v>
      </c>
      <c r="E14" t="s">
        <v>29</v>
      </c>
      <c r="F14" t="s">
        <v>26</v>
      </c>
      <c r="G14">
        <v>0</v>
      </c>
      <c r="H14" t="s">
        <v>27</v>
      </c>
      <c r="I14">
        <f>2025-B14</f>
        <v>3</v>
      </c>
      <c r="T14" s="2" t="s">
        <v>34</v>
      </c>
    </row>
    <row r="15" spans="1:20" x14ac:dyDescent="0.3">
      <c r="A15" t="s">
        <v>42</v>
      </c>
      <c r="B15">
        <v>2020</v>
      </c>
      <c r="C15" t="s">
        <v>20</v>
      </c>
      <c r="D15" t="s">
        <v>33</v>
      </c>
      <c r="E15" t="s">
        <v>28</v>
      </c>
      <c r="F15" t="s">
        <v>26</v>
      </c>
      <c r="G15">
        <v>0</v>
      </c>
      <c r="H15" t="s">
        <v>27</v>
      </c>
      <c r="I15">
        <f>2025-B15</f>
        <v>5</v>
      </c>
      <c r="T15" s="2" t="s">
        <v>96</v>
      </c>
    </row>
    <row r="16" spans="1:20" x14ac:dyDescent="0.3">
      <c r="A16" t="s">
        <v>41</v>
      </c>
      <c r="B16">
        <v>2023</v>
      </c>
      <c r="C16" t="s">
        <v>50</v>
      </c>
      <c r="D16" t="s">
        <v>36</v>
      </c>
      <c r="E16" t="s">
        <v>31</v>
      </c>
      <c r="F16" t="s">
        <v>26</v>
      </c>
      <c r="G16">
        <v>0</v>
      </c>
      <c r="H16" t="s">
        <v>27</v>
      </c>
      <c r="I16">
        <f>2025-B16</f>
        <v>2</v>
      </c>
      <c r="T16" s="2" t="s">
        <v>95</v>
      </c>
    </row>
    <row r="17" spans="1:20" x14ac:dyDescent="0.3">
      <c r="A17" t="s">
        <v>43</v>
      </c>
      <c r="B17">
        <v>2019</v>
      </c>
      <c r="C17" t="s">
        <v>50</v>
      </c>
      <c r="D17" t="s">
        <v>35</v>
      </c>
      <c r="E17" t="s">
        <v>29</v>
      </c>
      <c r="F17" t="s">
        <v>26</v>
      </c>
      <c r="G17">
        <v>0</v>
      </c>
      <c r="H17" t="s">
        <v>27</v>
      </c>
      <c r="I17">
        <f>2024-B17</f>
        <v>5</v>
      </c>
      <c r="T17" s="2" t="s">
        <v>94</v>
      </c>
    </row>
    <row r="18" spans="1:20" x14ac:dyDescent="0.3">
      <c r="A18" t="s">
        <v>44</v>
      </c>
      <c r="B18">
        <v>2020</v>
      </c>
      <c r="C18" t="s">
        <v>24</v>
      </c>
      <c r="D18" t="s">
        <v>36</v>
      </c>
      <c r="E18" t="s">
        <v>30</v>
      </c>
      <c r="F18" t="s">
        <v>26</v>
      </c>
      <c r="G18">
        <v>0</v>
      </c>
      <c r="H18" t="s">
        <v>27</v>
      </c>
      <c r="I18">
        <f>2024-B18</f>
        <v>4</v>
      </c>
    </row>
    <row r="19" spans="1:20" x14ac:dyDescent="0.3">
      <c r="A19" t="s">
        <v>45</v>
      </c>
      <c r="B19">
        <v>2017</v>
      </c>
      <c r="C19" t="s">
        <v>49</v>
      </c>
      <c r="D19" t="s">
        <v>36</v>
      </c>
      <c r="E19" t="s">
        <v>30</v>
      </c>
      <c r="F19" t="s">
        <v>26</v>
      </c>
      <c r="G19">
        <v>0</v>
      </c>
      <c r="H19" t="s">
        <v>27</v>
      </c>
      <c r="I19">
        <f>2019-B19</f>
        <v>2</v>
      </c>
    </row>
    <row r="20" spans="1:20" x14ac:dyDescent="0.3">
      <c r="A20" t="s">
        <v>46</v>
      </c>
      <c r="B20">
        <v>2018</v>
      </c>
      <c r="C20" t="s">
        <v>49</v>
      </c>
      <c r="D20" t="s">
        <v>36</v>
      </c>
      <c r="E20" t="s">
        <v>30</v>
      </c>
      <c r="F20" t="s">
        <v>26</v>
      </c>
      <c r="G20">
        <v>0</v>
      </c>
      <c r="H20" t="s">
        <v>27</v>
      </c>
      <c r="I20">
        <f>2024-B20</f>
        <v>6</v>
      </c>
    </row>
    <row r="21" spans="1:20" x14ac:dyDescent="0.3">
      <c r="A21" t="s">
        <v>47</v>
      </c>
      <c r="B21">
        <v>2015</v>
      </c>
      <c r="C21" t="s">
        <v>22</v>
      </c>
      <c r="D21" t="s">
        <v>36</v>
      </c>
      <c r="E21" t="s">
        <v>30</v>
      </c>
      <c r="F21" t="s">
        <v>26</v>
      </c>
      <c r="G21">
        <v>0</v>
      </c>
      <c r="H21" t="s">
        <v>27</v>
      </c>
      <c r="I21">
        <f>2025-B21</f>
        <v>10</v>
      </c>
    </row>
    <row r="22" spans="1:20" x14ac:dyDescent="0.3">
      <c r="A22" t="s">
        <v>48</v>
      </c>
      <c r="B22">
        <v>2015</v>
      </c>
      <c r="C22" t="s">
        <v>21</v>
      </c>
      <c r="D22" t="s">
        <v>35</v>
      </c>
      <c r="E22" t="s">
        <v>29</v>
      </c>
      <c r="F22" t="s">
        <v>26</v>
      </c>
      <c r="G22">
        <v>0</v>
      </c>
      <c r="H22" t="s">
        <v>27</v>
      </c>
      <c r="I22">
        <f>2019-B22</f>
        <v>4</v>
      </c>
    </row>
    <row r="23" spans="1:20" x14ac:dyDescent="0.3">
      <c r="A23" t="s">
        <v>101</v>
      </c>
      <c r="B23">
        <v>2015</v>
      </c>
      <c r="C23" t="s">
        <v>49</v>
      </c>
      <c r="D23" t="s">
        <v>36</v>
      </c>
      <c r="E23" t="s">
        <v>30</v>
      </c>
      <c r="F23" t="s">
        <v>26</v>
      </c>
      <c r="G23">
        <v>0</v>
      </c>
      <c r="H23" t="s">
        <v>27</v>
      </c>
      <c r="I23">
        <f>2017-B22</f>
        <v>2</v>
      </c>
    </row>
    <row r="24" spans="1:20" x14ac:dyDescent="0.3">
      <c r="A24" t="s">
        <v>51</v>
      </c>
      <c r="B24">
        <v>2015</v>
      </c>
      <c r="C24" t="s">
        <v>23</v>
      </c>
      <c r="D24" t="s">
        <v>37</v>
      </c>
      <c r="E24" t="s">
        <v>30</v>
      </c>
      <c r="F24" t="s">
        <v>26</v>
      </c>
      <c r="G24">
        <v>0</v>
      </c>
      <c r="H24" t="s">
        <v>27</v>
      </c>
      <c r="I24">
        <f>2017-B23</f>
        <v>2</v>
      </c>
    </row>
    <row r="25" spans="1:20" x14ac:dyDescent="0.3">
      <c r="A25" t="s">
        <v>52</v>
      </c>
      <c r="B25">
        <v>2019</v>
      </c>
      <c r="C25" t="s">
        <v>24</v>
      </c>
      <c r="D25" t="s">
        <v>35</v>
      </c>
      <c r="E25" t="s">
        <v>31</v>
      </c>
      <c r="F25" t="s">
        <v>26</v>
      </c>
      <c r="G25">
        <v>0</v>
      </c>
      <c r="H25" t="s">
        <v>27</v>
      </c>
      <c r="I25">
        <f>2022-B25</f>
        <v>3</v>
      </c>
    </row>
    <row r="26" spans="1:20" x14ac:dyDescent="0.3">
      <c r="A26" s="4" t="s">
        <v>56</v>
      </c>
      <c r="B26" s="4">
        <v>2016</v>
      </c>
      <c r="C26" s="4" t="s">
        <v>49</v>
      </c>
      <c r="D26" s="4" t="s">
        <v>32</v>
      </c>
      <c r="E26" t="s">
        <v>31</v>
      </c>
      <c r="F26" t="s">
        <v>53</v>
      </c>
      <c r="G26">
        <v>1</v>
      </c>
      <c r="H26" t="s">
        <v>54</v>
      </c>
      <c r="I26">
        <f>2025-B26</f>
        <v>9</v>
      </c>
    </row>
    <row r="27" spans="1:20" x14ac:dyDescent="0.3">
      <c r="A27" s="4" t="s">
        <v>57</v>
      </c>
      <c r="B27" s="4">
        <v>2018</v>
      </c>
      <c r="C27" s="4" t="s">
        <v>49</v>
      </c>
      <c r="D27" s="4" t="s">
        <v>32</v>
      </c>
      <c r="E27" t="s">
        <v>31</v>
      </c>
      <c r="F27" t="s">
        <v>53</v>
      </c>
      <c r="G27">
        <v>1</v>
      </c>
      <c r="H27" t="s">
        <v>54</v>
      </c>
      <c r="I27">
        <f>2025-B27</f>
        <v>7</v>
      </c>
    </row>
    <row r="28" spans="1:20" x14ac:dyDescent="0.3">
      <c r="A28" s="4" t="s">
        <v>58</v>
      </c>
      <c r="B28" s="4">
        <v>2017</v>
      </c>
      <c r="C28" s="4" t="s">
        <v>49</v>
      </c>
      <c r="D28" s="4" t="s">
        <v>33</v>
      </c>
      <c r="E28" t="s">
        <v>31</v>
      </c>
      <c r="F28" t="s">
        <v>53</v>
      </c>
      <c r="G28">
        <v>1</v>
      </c>
      <c r="H28" t="s">
        <v>54</v>
      </c>
      <c r="I28">
        <f>2025-B28</f>
        <v>8</v>
      </c>
    </row>
    <row r="29" spans="1:20" x14ac:dyDescent="0.3">
      <c r="A29" s="4" t="s">
        <v>59</v>
      </c>
      <c r="B29" s="4">
        <v>2015</v>
      </c>
      <c r="C29" s="4" t="s">
        <v>21</v>
      </c>
      <c r="D29" s="4" t="s">
        <v>33</v>
      </c>
      <c r="E29" t="s">
        <v>31</v>
      </c>
      <c r="F29" t="s">
        <v>53</v>
      </c>
      <c r="G29">
        <v>0</v>
      </c>
      <c r="H29" t="s">
        <v>54</v>
      </c>
      <c r="I29">
        <f>2025-B29</f>
        <v>10</v>
      </c>
    </row>
    <row r="30" spans="1:20" x14ac:dyDescent="0.3">
      <c r="A30" s="4" t="s">
        <v>60</v>
      </c>
      <c r="B30" s="4">
        <v>2016</v>
      </c>
      <c r="C30" s="4" t="s">
        <v>20</v>
      </c>
      <c r="D30" s="4" t="s">
        <v>32</v>
      </c>
      <c r="E30" t="s">
        <v>31</v>
      </c>
      <c r="F30" t="s">
        <v>53</v>
      </c>
      <c r="G30">
        <v>1</v>
      </c>
      <c r="H30" t="s">
        <v>54</v>
      </c>
      <c r="I30">
        <f>2025-B30</f>
        <v>9</v>
      </c>
    </row>
    <row r="31" spans="1:20" x14ac:dyDescent="0.3">
      <c r="A31" s="4" t="s">
        <v>61</v>
      </c>
      <c r="B31" s="4">
        <v>2015</v>
      </c>
      <c r="C31" s="4" t="s">
        <v>20</v>
      </c>
      <c r="D31" s="4" t="s">
        <v>32</v>
      </c>
      <c r="E31" t="s">
        <v>31</v>
      </c>
      <c r="F31" t="s">
        <v>53</v>
      </c>
      <c r="G31">
        <v>1</v>
      </c>
      <c r="H31" t="s">
        <v>54</v>
      </c>
      <c r="I31">
        <f>2025-B31</f>
        <v>10</v>
      </c>
    </row>
    <row r="32" spans="1:20" x14ac:dyDescent="0.3">
      <c r="A32" s="4" t="s">
        <v>62</v>
      </c>
      <c r="B32" s="4">
        <v>2018</v>
      </c>
      <c r="C32" s="4" t="s">
        <v>20</v>
      </c>
      <c r="D32" s="4" t="s">
        <v>32</v>
      </c>
      <c r="E32" t="s">
        <v>31</v>
      </c>
      <c r="F32" t="s">
        <v>53</v>
      </c>
      <c r="G32">
        <v>1</v>
      </c>
      <c r="H32" t="s">
        <v>54</v>
      </c>
      <c r="I32">
        <f>2025-B32</f>
        <v>7</v>
      </c>
    </row>
    <row r="33" spans="1:19" x14ac:dyDescent="0.3">
      <c r="A33" s="4" t="s">
        <v>63</v>
      </c>
      <c r="B33" s="4">
        <v>2015</v>
      </c>
      <c r="C33" s="4" t="s">
        <v>22</v>
      </c>
      <c r="D33" s="4" t="s">
        <v>33</v>
      </c>
      <c r="E33" t="s">
        <v>31</v>
      </c>
      <c r="F33" t="s">
        <v>53</v>
      </c>
      <c r="G33">
        <v>1</v>
      </c>
      <c r="H33" t="s">
        <v>54</v>
      </c>
      <c r="I33">
        <f>2025-B33</f>
        <v>10</v>
      </c>
    </row>
    <row r="34" spans="1:19" x14ac:dyDescent="0.3">
      <c r="A34" s="4" t="s">
        <v>64</v>
      </c>
      <c r="B34" s="4">
        <v>2015</v>
      </c>
      <c r="C34" s="4" t="s">
        <v>24</v>
      </c>
      <c r="D34" s="4" t="s">
        <v>32</v>
      </c>
      <c r="E34" t="s">
        <v>31</v>
      </c>
      <c r="F34" t="s">
        <v>53</v>
      </c>
      <c r="G34">
        <v>1</v>
      </c>
      <c r="H34" t="s">
        <v>54</v>
      </c>
      <c r="I34">
        <f>2025-B34</f>
        <v>10</v>
      </c>
    </row>
    <row r="35" spans="1:19" x14ac:dyDescent="0.3">
      <c r="A35" s="4" t="s">
        <v>65</v>
      </c>
      <c r="B35" s="4">
        <v>2020</v>
      </c>
      <c r="C35" s="4" t="s">
        <v>24</v>
      </c>
      <c r="D35" s="4" t="s">
        <v>33</v>
      </c>
      <c r="E35" s="4" t="s">
        <v>28</v>
      </c>
      <c r="F35" t="s">
        <v>53</v>
      </c>
      <c r="G35">
        <v>1</v>
      </c>
      <c r="H35" t="s">
        <v>54</v>
      </c>
      <c r="I35">
        <f>2025-B35</f>
        <v>5</v>
      </c>
    </row>
    <row r="36" spans="1:19" x14ac:dyDescent="0.3">
      <c r="A36" s="4" t="s">
        <v>66</v>
      </c>
      <c r="B36" s="4">
        <v>2020</v>
      </c>
      <c r="C36" s="4" t="s">
        <v>20</v>
      </c>
      <c r="D36" s="4" t="s">
        <v>33</v>
      </c>
      <c r="E36" s="4" t="s">
        <v>31</v>
      </c>
      <c r="F36" t="s">
        <v>53</v>
      </c>
      <c r="G36">
        <v>0</v>
      </c>
      <c r="H36" t="s">
        <v>54</v>
      </c>
      <c r="I36">
        <f>2025-B36</f>
        <v>5</v>
      </c>
      <c r="R36" s="3"/>
      <c r="S36" s="3"/>
    </row>
    <row r="37" spans="1:19" x14ac:dyDescent="0.3">
      <c r="A37" s="4" t="s">
        <v>67</v>
      </c>
      <c r="B37" s="4">
        <v>2017</v>
      </c>
      <c r="C37" s="4" t="s">
        <v>49</v>
      </c>
      <c r="D37" s="4" t="s">
        <v>33</v>
      </c>
      <c r="E37" s="4" t="s">
        <v>31</v>
      </c>
      <c r="F37" t="s">
        <v>53</v>
      </c>
      <c r="G37">
        <v>1</v>
      </c>
      <c r="H37" t="s">
        <v>54</v>
      </c>
      <c r="I37">
        <f>2025-B37</f>
        <v>8</v>
      </c>
      <c r="R37" s="4"/>
      <c r="S37" s="4"/>
    </row>
    <row r="38" spans="1:19" x14ac:dyDescent="0.3">
      <c r="A38" s="4" t="s">
        <v>68</v>
      </c>
      <c r="B38" s="4">
        <v>2015</v>
      </c>
      <c r="C38" s="4" t="s">
        <v>20</v>
      </c>
      <c r="D38" s="4" t="s">
        <v>33</v>
      </c>
      <c r="E38" s="4" t="s">
        <v>31</v>
      </c>
      <c r="F38" t="s">
        <v>53</v>
      </c>
      <c r="G38">
        <v>0</v>
      </c>
      <c r="H38" t="s">
        <v>54</v>
      </c>
      <c r="I38">
        <f>2025-B38</f>
        <v>10</v>
      </c>
      <c r="R38" s="4"/>
      <c r="S38" s="4"/>
    </row>
    <row r="39" spans="1:19" x14ac:dyDescent="0.3">
      <c r="A39" s="4" t="s">
        <v>69</v>
      </c>
      <c r="B39" s="4">
        <v>2016</v>
      </c>
      <c r="C39" s="4" t="s">
        <v>49</v>
      </c>
      <c r="D39" s="4" t="s">
        <v>33</v>
      </c>
      <c r="E39" s="4" t="s">
        <v>28</v>
      </c>
      <c r="F39" t="s">
        <v>53</v>
      </c>
      <c r="G39">
        <v>0</v>
      </c>
      <c r="H39" t="s">
        <v>54</v>
      </c>
      <c r="I39">
        <f>2025-B39</f>
        <v>9</v>
      </c>
      <c r="R39" s="4"/>
      <c r="S39" s="4"/>
    </row>
    <row r="40" spans="1:19" x14ac:dyDescent="0.3">
      <c r="A40" s="4" t="s">
        <v>70</v>
      </c>
      <c r="B40" s="4">
        <v>2019</v>
      </c>
      <c r="C40" s="4" t="s">
        <v>49</v>
      </c>
      <c r="D40" s="4" t="s">
        <v>33</v>
      </c>
      <c r="E40" s="4" t="s">
        <v>31</v>
      </c>
      <c r="F40" t="s">
        <v>53</v>
      </c>
      <c r="G40">
        <v>0</v>
      </c>
      <c r="H40" t="s">
        <v>54</v>
      </c>
      <c r="I40">
        <f>2025-B40</f>
        <v>6</v>
      </c>
      <c r="R40" s="4"/>
      <c r="S40" s="4"/>
    </row>
    <row r="41" spans="1:19" x14ac:dyDescent="0.3">
      <c r="A41" s="4" t="s">
        <v>71</v>
      </c>
      <c r="B41" s="4">
        <v>2021</v>
      </c>
      <c r="C41" s="4" t="s">
        <v>49</v>
      </c>
      <c r="D41" s="4" t="s">
        <v>35</v>
      </c>
      <c r="E41" s="4" t="s">
        <v>28</v>
      </c>
      <c r="F41" t="s">
        <v>53</v>
      </c>
      <c r="G41">
        <v>0</v>
      </c>
      <c r="H41" t="s">
        <v>54</v>
      </c>
      <c r="I41">
        <f>2025-B41</f>
        <v>4</v>
      </c>
      <c r="R41" s="4"/>
      <c r="S41" s="4"/>
    </row>
    <row r="42" spans="1:19" x14ac:dyDescent="0.3">
      <c r="A42" s="4" t="s">
        <v>72</v>
      </c>
      <c r="B42" s="4">
        <v>2019</v>
      </c>
      <c r="C42" s="4" t="s">
        <v>49</v>
      </c>
      <c r="D42" s="4" t="s">
        <v>35</v>
      </c>
      <c r="E42" s="4" t="s">
        <v>31</v>
      </c>
      <c r="F42" t="s">
        <v>53</v>
      </c>
      <c r="G42">
        <v>0</v>
      </c>
      <c r="H42" t="s">
        <v>54</v>
      </c>
      <c r="I42">
        <f>2025-B42</f>
        <v>6</v>
      </c>
      <c r="R42" s="4"/>
      <c r="S42" s="4"/>
    </row>
    <row r="43" spans="1:19" x14ac:dyDescent="0.3">
      <c r="A43" s="4" t="s">
        <v>73</v>
      </c>
      <c r="B43" s="4">
        <v>2018</v>
      </c>
      <c r="C43" s="4" t="s">
        <v>49</v>
      </c>
      <c r="D43" s="4" t="s">
        <v>33</v>
      </c>
      <c r="E43" s="4" t="s">
        <v>31</v>
      </c>
      <c r="F43" t="s">
        <v>53</v>
      </c>
      <c r="G43">
        <v>0</v>
      </c>
      <c r="H43" t="s">
        <v>54</v>
      </c>
      <c r="I43">
        <f>2025-B43</f>
        <v>7</v>
      </c>
      <c r="R43" s="4"/>
      <c r="S43" s="4"/>
    </row>
    <row r="44" spans="1:19" x14ac:dyDescent="0.3">
      <c r="A44" s="4" t="s">
        <v>74</v>
      </c>
      <c r="B44" s="4">
        <v>2019</v>
      </c>
      <c r="C44" s="4" t="s">
        <v>22</v>
      </c>
      <c r="D44" s="4" t="s">
        <v>33</v>
      </c>
      <c r="E44" s="4" t="s">
        <v>31</v>
      </c>
      <c r="F44" t="s">
        <v>53</v>
      </c>
      <c r="G44">
        <v>0</v>
      </c>
      <c r="H44" t="s">
        <v>54</v>
      </c>
      <c r="I44">
        <f>2025-B44</f>
        <v>6</v>
      </c>
      <c r="R44" s="4"/>
      <c r="S44" s="4"/>
    </row>
    <row r="45" spans="1:19" x14ac:dyDescent="0.3">
      <c r="A45" s="4" t="s">
        <v>75</v>
      </c>
      <c r="B45" s="4">
        <v>2020</v>
      </c>
      <c r="C45" s="4" t="s">
        <v>22</v>
      </c>
      <c r="D45" s="4" t="s">
        <v>35</v>
      </c>
      <c r="E45" s="4" t="s">
        <v>28</v>
      </c>
      <c r="F45" t="s">
        <v>53</v>
      </c>
      <c r="G45">
        <v>0</v>
      </c>
      <c r="H45" t="s">
        <v>54</v>
      </c>
      <c r="I45">
        <f>2025-B45</f>
        <v>5</v>
      </c>
      <c r="R45" s="4"/>
      <c r="S45" s="4"/>
    </row>
    <row r="46" spans="1:19" x14ac:dyDescent="0.3">
      <c r="A46" s="4" t="s">
        <v>76</v>
      </c>
      <c r="B46" s="4">
        <v>2018</v>
      </c>
      <c r="C46" s="4" t="s">
        <v>22</v>
      </c>
      <c r="D46" s="4" t="s">
        <v>35</v>
      </c>
      <c r="E46" s="4" t="s">
        <v>31</v>
      </c>
      <c r="F46" t="s">
        <v>53</v>
      </c>
      <c r="G46">
        <v>0</v>
      </c>
      <c r="H46" t="s">
        <v>54</v>
      </c>
      <c r="I46">
        <f>2025-B46</f>
        <v>7</v>
      </c>
      <c r="R46" s="4"/>
      <c r="S46" s="4"/>
    </row>
    <row r="47" spans="1:19" x14ac:dyDescent="0.3">
      <c r="A47" s="4" t="s">
        <v>77</v>
      </c>
      <c r="B47" s="4">
        <v>2017</v>
      </c>
      <c r="C47" s="4" t="s">
        <v>22</v>
      </c>
      <c r="D47" s="4" t="s">
        <v>35</v>
      </c>
      <c r="E47" s="4" t="s">
        <v>31</v>
      </c>
      <c r="F47" t="s">
        <v>53</v>
      </c>
      <c r="G47">
        <v>0</v>
      </c>
      <c r="H47" t="s">
        <v>54</v>
      </c>
      <c r="I47">
        <f>2025-B47</f>
        <v>8</v>
      </c>
      <c r="R47" s="4"/>
      <c r="S47" s="4"/>
    </row>
    <row r="48" spans="1:19" x14ac:dyDescent="0.3">
      <c r="A48" s="4" t="s">
        <v>78</v>
      </c>
      <c r="B48" s="4">
        <v>2015</v>
      </c>
      <c r="C48" s="4" t="s">
        <v>19</v>
      </c>
      <c r="D48" s="4" t="s">
        <v>35</v>
      </c>
      <c r="E48" s="4" t="s">
        <v>29</v>
      </c>
      <c r="F48" t="s">
        <v>53</v>
      </c>
      <c r="G48">
        <v>0</v>
      </c>
      <c r="H48" t="s">
        <v>54</v>
      </c>
      <c r="I48">
        <f>2025-B48</f>
        <v>10</v>
      </c>
      <c r="R48" s="4"/>
      <c r="S48" s="4"/>
    </row>
    <row r="49" spans="1:19" x14ac:dyDescent="0.3">
      <c r="A49" s="4" t="s">
        <v>79</v>
      </c>
      <c r="B49" s="4">
        <v>2017</v>
      </c>
      <c r="C49" s="4" t="s">
        <v>19</v>
      </c>
      <c r="D49" s="4" t="s">
        <v>35</v>
      </c>
      <c r="E49" s="4" t="s">
        <v>28</v>
      </c>
      <c r="F49" t="s">
        <v>53</v>
      </c>
      <c r="G49">
        <v>0</v>
      </c>
      <c r="H49" t="s">
        <v>54</v>
      </c>
      <c r="I49">
        <f>2025-B49</f>
        <v>8</v>
      </c>
      <c r="R49" s="4"/>
      <c r="S49" s="4"/>
    </row>
    <row r="50" spans="1:19" x14ac:dyDescent="0.3">
      <c r="A50" s="4" t="s">
        <v>80</v>
      </c>
      <c r="B50" s="4">
        <v>2018</v>
      </c>
      <c r="C50" s="4" t="s">
        <v>19</v>
      </c>
      <c r="D50" s="4" t="s">
        <v>33</v>
      </c>
      <c r="E50" s="4" t="s">
        <v>31</v>
      </c>
      <c r="F50" t="s">
        <v>53</v>
      </c>
      <c r="G50">
        <v>0</v>
      </c>
      <c r="H50" t="s">
        <v>54</v>
      </c>
      <c r="I50">
        <f>2025-B50</f>
        <v>7</v>
      </c>
      <c r="R50" s="4"/>
      <c r="S50" s="4"/>
    </row>
    <row r="51" spans="1:19" x14ac:dyDescent="0.3">
      <c r="A51" s="4" t="s">
        <v>81</v>
      </c>
      <c r="B51" s="4">
        <v>2016</v>
      </c>
      <c r="C51" s="4" t="s">
        <v>21</v>
      </c>
      <c r="D51" s="4" t="s">
        <v>33</v>
      </c>
      <c r="E51" s="4" t="s">
        <v>31</v>
      </c>
      <c r="F51" t="s">
        <v>53</v>
      </c>
      <c r="G51">
        <v>0</v>
      </c>
      <c r="H51" t="s">
        <v>54</v>
      </c>
      <c r="I51">
        <f>2025-B51</f>
        <v>9</v>
      </c>
      <c r="R51" s="4"/>
      <c r="S51" s="4"/>
    </row>
    <row r="52" spans="1:19" x14ac:dyDescent="0.3">
      <c r="A52" s="4" t="s">
        <v>82</v>
      </c>
      <c r="B52" s="4">
        <v>2018</v>
      </c>
      <c r="C52" s="4" t="s">
        <v>21</v>
      </c>
      <c r="D52" s="4" t="s">
        <v>35</v>
      </c>
      <c r="E52" s="4" t="s">
        <v>28</v>
      </c>
      <c r="F52" t="s">
        <v>53</v>
      </c>
      <c r="G52">
        <v>0</v>
      </c>
      <c r="H52" t="s">
        <v>54</v>
      </c>
      <c r="I52">
        <f>2025-B52</f>
        <v>7</v>
      </c>
      <c r="R52" s="4"/>
      <c r="S52" s="4"/>
    </row>
    <row r="53" spans="1:19" x14ac:dyDescent="0.3">
      <c r="A53" s="4" t="s">
        <v>83</v>
      </c>
      <c r="B53" s="4">
        <v>2016</v>
      </c>
      <c r="C53" s="4" t="s">
        <v>50</v>
      </c>
      <c r="D53" s="4" t="s">
        <v>35</v>
      </c>
      <c r="E53" s="4" t="s">
        <v>31</v>
      </c>
      <c r="F53" t="s">
        <v>53</v>
      </c>
      <c r="G53">
        <v>0</v>
      </c>
      <c r="H53" t="s">
        <v>54</v>
      </c>
      <c r="I53">
        <f>2025-B53</f>
        <v>9</v>
      </c>
      <c r="R53" s="4"/>
      <c r="S53" s="4"/>
    </row>
    <row r="54" spans="1:19" x14ac:dyDescent="0.3">
      <c r="A54" s="4" t="s">
        <v>84</v>
      </c>
      <c r="B54" s="4">
        <v>2015</v>
      </c>
      <c r="C54" s="4" t="s">
        <v>20</v>
      </c>
      <c r="D54" s="4" t="s">
        <v>32</v>
      </c>
      <c r="E54" s="4" t="s">
        <v>31</v>
      </c>
      <c r="F54" t="s">
        <v>53</v>
      </c>
      <c r="G54" s="4">
        <v>1</v>
      </c>
      <c r="H54" t="s">
        <v>54</v>
      </c>
      <c r="I54">
        <f>2025-B54</f>
        <v>10</v>
      </c>
      <c r="R54" s="4"/>
      <c r="S54" s="4"/>
    </row>
    <row r="55" spans="1:19" x14ac:dyDescent="0.3">
      <c r="A55" s="4" t="s">
        <v>85</v>
      </c>
      <c r="B55" s="4">
        <v>2015</v>
      </c>
      <c r="C55" s="4" t="s">
        <v>20</v>
      </c>
      <c r="D55" s="4" t="s">
        <v>33</v>
      </c>
      <c r="E55" s="4" t="s">
        <v>31</v>
      </c>
      <c r="F55" t="s">
        <v>53</v>
      </c>
      <c r="G55" s="4">
        <v>1</v>
      </c>
      <c r="H55" t="s">
        <v>54</v>
      </c>
      <c r="I55">
        <f>2025-B55</f>
        <v>10</v>
      </c>
      <c r="R55" s="4"/>
      <c r="S55" s="4"/>
    </row>
    <row r="56" spans="1:19" x14ac:dyDescent="0.3">
      <c r="A56" s="4" t="s">
        <v>86</v>
      </c>
      <c r="B56" s="4">
        <v>2018</v>
      </c>
      <c r="C56" s="4" t="s">
        <v>49</v>
      </c>
      <c r="D56" s="4" t="s">
        <v>33</v>
      </c>
      <c r="E56" s="4" t="s">
        <v>31</v>
      </c>
      <c r="F56" t="s">
        <v>53</v>
      </c>
      <c r="G56" s="4">
        <v>1</v>
      </c>
      <c r="H56" t="s">
        <v>54</v>
      </c>
      <c r="I56">
        <f>2025-B56</f>
        <v>7</v>
      </c>
      <c r="R56" s="4"/>
      <c r="S56" s="4"/>
    </row>
    <row r="57" spans="1:19" x14ac:dyDescent="0.3">
      <c r="A57" s="4" t="s">
        <v>87</v>
      </c>
      <c r="B57" s="4">
        <v>2015</v>
      </c>
      <c r="C57" s="4" t="s">
        <v>23</v>
      </c>
      <c r="D57" s="4" t="s">
        <v>33</v>
      </c>
      <c r="E57" s="4" t="s">
        <v>31</v>
      </c>
      <c r="F57" t="s">
        <v>53</v>
      </c>
      <c r="G57" s="4">
        <v>1</v>
      </c>
      <c r="H57" t="s">
        <v>54</v>
      </c>
      <c r="I57">
        <f>2025-B57</f>
        <v>10</v>
      </c>
      <c r="R57" s="4"/>
      <c r="S57" s="4"/>
    </row>
    <row r="58" spans="1:19" x14ac:dyDescent="0.3">
      <c r="A58" s="4" t="s">
        <v>89</v>
      </c>
      <c r="B58" s="4">
        <v>2021</v>
      </c>
      <c r="C58" s="4" t="s">
        <v>20</v>
      </c>
      <c r="D58" s="4" t="s">
        <v>32</v>
      </c>
      <c r="E58" s="4" t="s">
        <v>31</v>
      </c>
      <c r="F58" t="s">
        <v>53</v>
      </c>
      <c r="G58" s="4">
        <v>1</v>
      </c>
      <c r="H58" t="s">
        <v>54</v>
      </c>
      <c r="I58">
        <f>2025-B58</f>
        <v>4</v>
      </c>
      <c r="R58" s="4"/>
      <c r="S58" s="4"/>
    </row>
    <row r="59" spans="1:19" x14ac:dyDescent="0.3">
      <c r="A59" s="4" t="s">
        <v>58</v>
      </c>
      <c r="B59" s="4">
        <v>2017</v>
      </c>
      <c r="C59" s="4" t="s">
        <v>49</v>
      </c>
      <c r="D59" s="4" t="s">
        <v>32</v>
      </c>
      <c r="E59" s="4" t="s">
        <v>31</v>
      </c>
      <c r="F59" t="s">
        <v>53</v>
      </c>
      <c r="G59" s="4">
        <v>1</v>
      </c>
      <c r="H59" t="s">
        <v>54</v>
      </c>
      <c r="I59">
        <f>2025-B59</f>
        <v>8</v>
      </c>
      <c r="R59" s="4"/>
      <c r="S59" s="4"/>
    </row>
    <row r="60" spans="1:19" x14ac:dyDescent="0.3">
      <c r="A60" s="4" t="s">
        <v>86</v>
      </c>
      <c r="B60" s="4">
        <v>2018</v>
      </c>
      <c r="C60" s="4" t="s">
        <v>49</v>
      </c>
      <c r="D60" s="4" t="s">
        <v>32</v>
      </c>
      <c r="E60" s="4" t="s">
        <v>31</v>
      </c>
      <c r="F60" t="s">
        <v>53</v>
      </c>
      <c r="G60" s="4">
        <v>1</v>
      </c>
      <c r="H60" t="s">
        <v>54</v>
      </c>
      <c r="I60">
        <f>2025-B60</f>
        <v>7</v>
      </c>
      <c r="R60" s="4"/>
      <c r="S60" s="4"/>
    </row>
    <row r="61" spans="1:19" x14ac:dyDescent="0.3">
      <c r="A61" s="4" t="s">
        <v>90</v>
      </c>
      <c r="B61" s="4">
        <v>2016</v>
      </c>
      <c r="C61" s="4" t="s">
        <v>23</v>
      </c>
      <c r="D61" s="4" t="s">
        <v>33</v>
      </c>
      <c r="E61" s="4" t="s">
        <v>31</v>
      </c>
      <c r="F61" t="s">
        <v>53</v>
      </c>
      <c r="G61" s="4">
        <v>1</v>
      </c>
      <c r="H61" t="s">
        <v>54</v>
      </c>
      <c r="I61">
        <f>2025-B61</f>
        <v>9</v>
      </c>
      <c r="R61" s="4"/>
      <c r="S61" s="4"/>
    </row>
    <row r="62" spans="1:19" x14ac:dyDescent="0.3">
      <c r="A62" s="4" t="s">
        <v>91</v>
      </c>
      <c r="B62" s="4">
        <v>2018</v>
      </c>
      <c r="C62" s="4" t="s">
        <v>20</v>
      </c>
      <c r="D62" t="s">
        <v>33</v>
      </c>
      <c r="E62" s="4" t="s">
        <v>31</v>
      </c>
      <c r="F62" t="s">
        <v>53</v>
      </c>
      <c r="G62" s="4">
        <v>1</v>
      </c>
      <c r="H62" t="s">
        <v>54</v>
      </c>
      <c r="I62">
        <f>2025-B62</f>
        <v>7</v>
      </c>
      <c r="R62" s="4"/>
      <c r="S62" s="4"/>
    </row>
    <row r="63" spans="1:19" x14ac:dyDescent="0.3">
      <c r="A63" s="4" t="s">
        <v>85</v>
      </c>
      <c r="B63" s="4">
        <v>2015</v>
      </c>
      <c r="C63" s="4" t="s">
        <v>20</v>
      </c>
      <c r="D63" t="s">
        <v>32</v>
      </c>
      <c r="E63" s="4" t="s">
        <v>31</v>
      </c>
      <c r="F63" t="s">
        <v>53</v>
      </c>
      <c r="G63" s="4">
        <v>1</v>
      </c>
      <c r="H63" t="s">
        <v>54</v>
      </c>
      <c r="I63">
        <f>2025-B63</f>
        <v>10</v>
      </c>
      <c r="R63" s="4"/>
      <c r="S63" s="4"/>
    </row>
    <row r="64" spans="1:19" x14ac:dyDescent="0.3">
      <c r="A64" s="4" t="s">
        <v>87</v>
      </c>
      <c r="B64" s="4">
        <v>2015</v>
      </c>
      <c r="C64" s="4" t="s">
        <v>23</v>
      </c>
      <c r="D64" t="s">
        <v>32</v>
      </c>
      <c r="E64" s="4" t="s">
        <v>31</v>
      </c>
      <c r="F64" t="s">
        <v>53</v>
      </c>
      <c r="G64" s="4">
        <v>1</v>
      </c>
      <c r="H64" t="s">
        <v>54</v>
      </c>
      <c r="I64">
        <f>2025-B64</f>
        <v>10</v>
      </c>
      <c r="R64" s="4"/>
      <c r="S64" s="4"/>
    </row>
    <row r="65" spans="1:19" x14ac:dyDescent="0.3">
      <c r="A65" s="4" t="s">
        <v>88</v>
      </c>
      <c r="B65" s="4">
        <v>2017</v>
      </c>
      <c r="C65" s="4" t="s">
        <v>18</v>
      </c>
      <c r="D65" t="s">
        <v>32</v>
      </c>
      <c r="E65" s="4" t="s">
        <v>31</v>
      </c>
      <c r="F65" t="s">
        <v>53</v>
      </c>
      <c r="G65" s="4">
        <v>1</v>
      </c>
      <c r="H65" t="s">
        <v>54</v>
      </c>
      <c r="I65">
        <f>2025-B65</f>
        <v>8</v>
      </c>
      <c r="R65" s="4"/>
      <c r="S65" s="4"/>
    </row>
    <row r="66" spans="1:19" x14ac:dyDescent="0.3">
      <c r="A66" s="4" t="s">
        <v>92</v>
      </c>
      <c r="B66" s="4">
        <v>2021</v>
      </c>
      <c r="C66" s="4" t="s">
        <v>20</v>
      </c>
      <c r="D66" t="s">
        <v>33</v>
      </c>
      <c r="E66" s="4" t="s">
        <v>31</v>
      </c>
      <c r="F66" t="s">
        <v>53</v>
      </c>
      <c r="G66" s="4">
        <v>1</v>
      </c>
      <c r="H66" t="s">
        <v>54</v>
      </c>
      <c r="I66">
        <f>2025-B66</f>
        <v>4</v>
      </c>
      <c r="R66" s="4"/>
      <c r="S66" s="4"/>
    </row>
    <row r="67" spans="1:19" x14ac:dyDescent="0.3">
      <c r="A67" s="4" t="s">
        <v>93</v>
      </c>
      <c r="B67" s="4">
        <v>2021</v>
      </c>
      <c r="C67" s="4" t="s">
        <v>20</v>
      </c>
      <c r="D67" t="s">
        <v>33</v>
      </c>
      <c r="E67" s="4" t="s">
        <v>28</v>
      </c>
      <c r="F67" t="s">
        <v>53</v>
      </c>
      <c r="G67" s="4">
        <v>1</v>
      </c>
      <c r="H67" t="s">
        <v>54</v>
      </c>
      <c r="I67">
        <f>2025-B67</f>
        <v>4</v>
      </c>
      <c r="R67" s="4"/>
      <c r="S67" s="4"/>
    </row>
    <row r="68" spans="1:19" x14ac:dyDescent="0.3">
      <c r="E68" s="4"/>
      <c r="R68" s="4"/>
      <c r="S68" s="4"/>
    </row>
    <row r="69" spans="1:19" x14ac:dyDescent="0.3">
      <c r="R69" s="4"/>
      <c r="S69" s="4"/>
    </row>
    <row r="70" spans="1:19" x14ac:dyDescent="0.3">
      <c r="R70" s="4"/>
      <c r="S70" s="4"/>
    </row>
    <row r="71" spans="1:19" x14ac:dyDescent="0.3">
      <c r="R71" s="4"/>
      <c r="S71" s="4"/>
    </row>
    <row r="72" spans="1:19" x14ac:dyDescent="0.3">
      <c r="R72" s="4"/>
      <c r="S72" s="4"/>
    </row>
    <row r="73" spans="1:19" x14ac:dyDescent="0.3">
      <c r="R73" s="4"/>
      <c r="S73" s="4"/>
    </row>
    <row r="74" spans="1:19" x14ac:dyDescent="0.3">
      <c r="R74" s="4"/>
      <c r="S74" s="4"/>
    </row>
  </sheetData>
  <pageMargins left="0.7" right="0.7" top="0.75" bottom="0.75" header="0.3" footer="0.3"/>
  <ignoredErrors>
    <ignoredError sqref="I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Failure by Industry</vt:lpstr>
      <vt:lpstr>Failure by Funding</vt:lpstr>
      <vt:lpstr>Industry vs Funding Range</vt:lpstr>
      <vt:lpstr>Unicorn Distribution</vt:lpstr>
      <vt:lpstr>Failure Rate by Industry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</dc:creator>
  <cp:lastModifiedBy>Nihal Sathya</cp:lastModifiedBy>
  <dcterms:created xsi:type="dcterms:W3CDTF">2015-06-05T18:17:20Z</dcterms:created>
  <dcterms:modified xsi:type="dcterms:W3CDTF">2026-06-07T07:07:20Z</dcterms:modified>
</cp:coreProperties>
</file>